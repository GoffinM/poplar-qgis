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ynthèse" sheetId="1" r:id="rId1"/>
    <sheet name="Classes – Rural" sheetId="2" r:id="rId2"/>
    <sheet name="Distribution – Rural" sheetId="3" r:id="rId3"/>
    <sheet name="Classes – Urbain1" sheetId="4" r:id="rId4"/>
    <sheet name="Distribution – Urbain1" sheetId="5" r:id="rId5"/>
    <sheet name="Hypothèses" sheetId="6" r:id="rId6"/>
    <sheet name="Sources" sheetId="7" r:id="rId7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.0"/>
    <numFmt numFmtId="167" formatCode="0.00%"/>
  </numFmts>
  <fonts count="7">
    <font>
      <sz val="10"/>
      <name val="Calibri"/>
      <family val="2"/>
    </font>
    <font>
      <b/>
      <sz val="15"/>
      <color rgb="FF1F6F6A"/>
      <name val="Calibri"/>
      <family val="2"/>
    </font>
    <font>
      <b/>
      <sz val="11"/>
      <color rgb="FF1F6F6A"/>
      <name val="Calibri"/>
      <family val="2"/>
    </font>
    <font>
      <b/>
      <sz val="10"/>
      <color rgb="FFFFFFFF"/>
      <name val="Calibri"/>
      <family val="2"/>
    </font>
    <font>
      <i/>
      <sz val="9"/>
      <color rgb="FF7A7A7A"/>
      <name val="Calibri"/>
      <family val="2"/>
    </font>
    <font>
      <b/>
      <sz val="10"/>
      <name val="Calibri"/>
      <family val="2"/>
    </font>
    <font>
      <b/>
      <sz val="10"/>
      <color rgb="FF8A5A1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6F6A"/>
        <bgColor indexed="64"/>
      </patternFill>
    </fill>
    <fill>
      <patternFill patternType="solid">
        <fgColor rgb="FFEAF2F1"/>
        <bgColor indexed="64"/>
      </patternFill>
    </fill>
    <fill>
      <patternFill patternType="solid">
        <fgColor rgb="FFF6E7C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6F6A"/>
      </bottom>
      <diagonal/>
    </border>
    <border>
      <left/>
      <right/>
      <top style="thin">
        <color rgb="FF1F6F6A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 vertical="top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 vertical="top"/>
    </xf>
    <xf numFmtId="0" fontId="5" fillId="3" borderId="0" xfId="0" applyFont="1" applyFill="1"/>
    <xf numFmtId="1" fontId="5" fillId="4" borderId="0" xfId="0" applyNumberFormat="1" applyFont="1" applyFill="1"/>
    <xf numFmtId="3" fontId="5" fillId="0" borderId="2" xfId="0" applyNumberFormat="1" applyFont="1" applyBorder="1"/>
    <xf numFmtId="166" fontId="5" fillId="0" borderId="2" xfId="0" applyNumberFormat="1" applyFont="1" applyBorder="1"/>
    <xf numFmtId="0" fontId="6" fillId="4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worksheet" Target="/xl/worksheets/sheet6.xml"/><Relationship Id="rId7" Type="http://schemas.openxmlformats.org/officeDocument/2006/relationships/worksheet" Target="/xl/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Habitants par toit selon la surface – Rural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Habitants par toit (courbe)</c:v>
          </c:tx>
          <c:spPr>
            <a:ln w="22225" cap="rnd">
              <a:solidFill>
                <a:srgbClr val="1F6F6A"/>
              </a:solidFill>
              <a:round/>
            </a:ln>
          </c:spPr>
          <c:marker>
            <c:symbol val="none"/>
          </c:marker>
          <c:xVal>
            <c:numRef>
              <c:f>'Classes – Rural'!$K$6:$K$245</c:f>
            </c:numRef>
          </c:xVal>
          <c:yVal>
            <c:numRef>
              <c:f>'Classes – Rural'!$L$6:$L$245</c:f>
            </c:numRef>
          </c:yVal>
          <c:smooth val="0"/>
        </c:ser>
        <c:ser>
          <c:idx val="1"/>
          <c:order val="1"/>
          <c:tx>
            <c:v>Habitants retenus (classes)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98A36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'Classes – Rural'!$M$6:$M$13</c:f>
            </c:numRef>
          </c:xVal>
          <c:yVal>
            <c:numRef>
              <c:f>'Classes – Rural'!$N$6:$N$13</c:f>
            </c:numRef>
          </c:yVal>
          <c:smooth val="0"/>
        </c:ser>
        <c:axId val="500010"/>
        <c:axId val="500020"/>
      </c:scatterChart>
      <c:valAx>
        <c:axId val="500010"/>
        <c:scaling>
          <c:orientation val="minMax"/>
          <c:max val="250.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crossBetween val="midCat"/>
      </c:valAx>
      <c:valAx>
        <c:axId val="50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habitants par toit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Toits par classe – Rural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Toits</c:v>
          </c:tx>
          <c:spPr>
            <a:solidFill>
              <a:srgbClr val="1F6F6A"/>
            </a:solidFill>
          </c:spPr>
          <c:invertIfNegative val="0"/>
          <c:cat>
            <c:numRef>
              <c:f>'Classes – Rural'!$A$5:$A$12</c:f>
            </c:numRef>
          </c:cat>
          <c:val>
            <c:numRef>
              <c:f>'Classes – Rural'!$D$5:$D$12</c:f>
            </c:numRef>
          </c:val>
        </c:ser>
        <c:gapWidth val="40"/>
        <c:axId val="500010"/>
        <c:axId val="500020"/>
      </c:barChart>
      <c:catAx>
        <c:axId val="50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Classe</a:t>
                </a:r>
              </a:p>
            </c:rich>
          </c:tx>
          <c:overlay val="0"/>
        </c:title>
        <c:majorTickMark val="out"/>
        <c:minorTickMark val="none"/>
        <c:tickLblPos val="nextTo"/>
        <c:crossAx val="500020"/>
        <c:crosses val="autoZero"/>
        <c:auto val="1"/>
        <c:lblAlgn val="ctr"/>
        <c:lblOffset val="100"/>
        <c:noMultiLvlLbl val="0"/>
      </c:catAx>
      <c:valAx>
        <c:axId val="5000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Toits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Toits par m² de surface – Rural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Toits</c:v>
          </c:tx>
          <c:spPr>
            <a:solidFill>
              <a:srgbClr val="1F6F6A"/>
            </a:solidFill>
          </c:spPr>
          <c:invertIfNegative val="0"/>
          <c:cat>
            <c:numRef>
              <c:f>'Distribution – Rural'!$A$5:$A$184</c:f>
            </c:numRef>
          </c:cat>
          <c:val>
            <c:numRef>
              <c:f>'Distribution – Rural'!$B$5:$B$184</c:f>
            </c:numRef>
          </c:val>
        </c:ser>
        <c:gapWidth val="0"/>
        <c:axId val="500010"/>
        <c:axId val="500020"/>
      </c:barChart>
      <c:catAx>
        <c:axId val="50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auto val="1"/>
        <c:lblAlgn val="ctr"/>
        <c:lblOffset val="100"/>
        <c:noMultiLvlLbl val="0"/>
      </c:catAx>
      <c:valAx>
        <c:axId val="5000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nombre de toits</a:t>
                </a:r>
              </a:p>
            </c:rich>
          </c:tx>
          <c:overlay val="0"/>
        </c:title>
        <c:majorTickMark val="out"/>
        <c:minorTickMark val="none"/>
        <c:tickLblPos val="nextTo"/>
        <c:crossAx val="500010"/>
        <c:crosses val="autoZero"/>
        <c:crossBetween val="midCat"/>
      </c:valAx>
    </c:plotArea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Parts cumulées – Rural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 cumulée des toits</c:v>
          </c:tx>
          <c:spPr>
            <a:ln w="22225" cap="rnd">
              <a:solidFill>
                <a:srgbClr val="1F6F6A"/>
              </a:solidFill>
              <a:round/>
            </a:ln>
          </c:spPr>
          <c:marker>
            <c:symbol val="none"/>
          </c:marker>
          <c:xVal>
            <c:numRef>
              <c:f>'Distribution – Rural'!$D$5:$D$184</c:f>
            </c:numRef>
          </c:xVal>
          <c:yVal>
            <c:numRef>
              <c:f>'Distribution – Rural'!$E$5:$E$184</c:f>
            </c:numRef>
          </c:yVal>
          <c:smooth val="0"/>
        </c:ser>
        <c:ser>
          <c:idx val="1"/>
          <c:order val="1"/>
          <c:tx>
            <c:v>Part cumulée de la population</c:v>
          </c:tx>
          <c:spPr>
            <a:ln w="22225" cap="rnd">
              <a:solidFill>
                <a:srgbClr val="C98A36"/>
              </a:solidFill>
              <a:round/>
            </a:ln>
          </c:spPr>
          <c:marker>
            <c:symbol val="none"/>
          </c:marker>
          <c:xVal>
            <c:numRef>
              <c:f>'Distribution – Rural'!$D$5:$D$184</c:f>
            </c:numRef>
          </c:xVal>
          <c:yVal>
            <c:numRef>
              <c:f>'Distribution – Rural'!$F$5:$F$184</c:f>
            </c:numRef>
          </c:yVal>
          <c:smooth val="0"/>
        </c:ser>
        <c:axId val="500010"/>
        <c:axId val="500020"/>
      </c:scatterChart>
      <c:valAx>
        <c:axId val="500010"/>
        <c:scaling>
          <c:orientation val="minMax"/>
          <c:max val="180.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crossBetween val="midCat"/>
      </c:valAx>
      <c:valAx>
        <c:axId val="500020"/>
        <c:scaling>
          <c:orientation val="minMax"/>
          <c:max val="1"/>
          <c:min val="0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part cumulée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Habitants par toit selon la surface – Urbain1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Habitants par toit (courbe)</c:v>
          </c:tx>
          <c:spPr>
            <a:ln w="22225" cap="rnd">
              <a:solidFill>
                <a:srgbClr val="1F6F6A"/>
              </a:solidFill>
              <a:round/>
            </a:ln>
          </c:spPr>
          <c:marker>
            <c:symbol val="none"/>
          </c:marker>
          <c:xVal>
            <c:numRef>
              <c:f>'Classes – Urbain1'!$K$6:$K$330</c:f>
            </c:numRef>
          </c:xVal>
          <c:yVal>
            <c:numRef>
              <c:f>'Classes – Urbain1'!$L$6:$L$330</c:f>
            </c:numRef>
          </c:yVal>
          <c:smooth val="0"/>
        </c:ser>
        <c:ser>
          <c:idx val="1"/>
          <c:order val="1"/>
          <c:tx>
            <c:v>Habitants retenus (classes)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98A36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'Classes – Urbain1'!$M$6:$M$13</c:f>
            </c:numRef>
          </c:xVal>
          <c:yVal>
            <c:numRef>
              <c:f>'Classes – Urbain1'!$N$6:$N$13</c:f>
            </c:numRef>
          </c:yVal>
          <c:smooth val="0"/>
        </c:ser>
        <c:axId val="500010"/>
        <c:axId val="500020"/>
      </c:scatterChart>
      <c:valAx>
        <c:axId val="500010"/>
        <c:scaling>
          <c:orientation val="minMax"/>
          <c:max val="350.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crossBetween val="midCat"/>
      </c:valAx>
      <c:valAx>
        <c:axId val="50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habitants par toit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Toits par classe – Urbain1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Toits</c:v>
          </c:tx>
          <c:spPr>
            <a:solidFill>
              <a:srgbClr val="1F6F6A"/>
            </a:solidFill>
          </c:spPr>
          <c:invertIfNegative val="0"/>
          <c:cat>
            <c:numRef>
              <c:f>'Classes – Urbain1'!$A$5:$A$12</c:f>
            </c:numRef>
          </c:cat>
          <c:val>
            <c:numRef>
              <c:f>'Classes – Urbain1'!$D$5:$D$12</c:f>
            </c:numRef>
          </c:val>
        </c:ser>
        <c:gapWidth val="40"/>
        <c:axId val="500010"/>
        <c:axId val="500020"/>
      </c:barChart>
      <c:catAx>
        <c:axId val="50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Classe</a:t>
                </a:r>
              </a:p>
            </c:rich>
          </c:tx>
          <c:overlay val="0"/>
        </c:title>
        <c:majorTickMark val="out"/>
        <c:minorTickMark val="none"/>
        <c:tickLblPos val="nextTo"/>
        <c:crossAx val="500020"/>
        <c:crosses val="autoZero"/>
        <c:auto val="1"/>
        <c:lblAlgn val="ctr"/>
        <c:lblOffset val="100"/>
        <c:noMultiLvlLbl val="0"/>
      </c:catAx>
      <c:valAx>
        <c:axId val="5000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Toits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Toits par m² de surface – Urbain1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Toits</c:v>
          </c:tx>
          <c:spPr>
            <a:solidFill>
              <a:srgbClr val="1F6F6A"/>
            </a:solidFill>
          </c:spPr>
          <c:invertIfNegative val="0"/>
          <c:cat>
            <c:numRef>
              <c:f>'Distribution – Urbain1'!$A$5:$A$247</c:f>
            </c:numRef>
          </c:cat>
          <c:val>
            <c:numRef>
              <c:f>'Distribution – Urbain1'!$B$5:$B$247</c:f>
            </c:numRef>
          </c:val>
        </c:ser>
        <c:gapWidth val="0"/>
        <c:axId val="500010"/>
        <c:axId val="500020"/>
      </c:barChart>
      <c:catAx>
        <c:axId val="50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auto val="1"/>
        <c:lblAlgn val="ctr"/>
        <c:lblOffset val="100"/>
        <c:noMultiLvlLbl val="0"/>
      </c:catAx>
      <c:valAx>
        <c:axId val="5000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nombre de toits</a:t>
                </a:r>
              </a:p>
            </c:rich>
          </c:tx>
          <c:overlay val="0"/>
        </c:title>
        <c:majorTickMark val="out"/>
        <c:minorTickMark val="none"/>
        <c:tickLblPos val="nextTo"/>
        <c:crossAx val="500010"/>
        <c:crosses val="autoZero"/>
        <c:crossBetween val="midCat"/>
      </c:valAx>
    </c:plotArea>
    <c:plotVisOnly val="1"/>
    <c:dispBlanksAs val="gap"/>
  </c:chart>
  <c:spPr>
    <a:solidFill>
      <a:srgbClr val="FFFFFF"/>
    </a:solidFill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fr-FR" sz="1200" b="1"/>
              <a:t>Parts cumulées – Urbain1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 cumulée des toits</c:v>
          </c:tx>
          <c:spPr>
            <a:ln w="22225" cap="rnd">
              <a:solidFill>
                <a:srgbClr val="1F6F6A"/>
              </a:solidFill>
              <a:round/>
            </a:ln>
          </c:spPr>
          <c:marker>
            <c:symbol val="none"/>
          </c:marker>
          <c:xVal>
            <c:numRef>
              <c:f>'Distribution – Urbain1'!$D$5:$D$247</c:f>
            </c:numRef>
          </c:xVal>
          <c:yVal>
            <c:numRef>
              <c:f>'Distribution – Urbain1'!$E$5:$E$247</c:f>
            </c:numRef>
          </c:yVal>
          <c:smooth val="0"/>
        </c:ser>
        <c:ser>
          <c:idx val="1"/>
          <c:order val="1"/>
          <c:tx>
            <c:v>Part cumulée de la population</c:v>
          </c:tx>
          <c:spPr>
            <a:ln w="22225" cap="rnd">
              <a:solidFill>
                <a:srgbClr val="C98A36"/>
              </a:solidFill>
              <a:round/>
            </a:ln>
          </c:spPr>
          <c:marker>
            <c:symbol val="none"/>
          </c:marker>
          <c:xVal>
            <c:numRef>
              <c:f>'Distribution – Urbain1'!$D$5:$D$247</c:f>
            </c:numRef>
          </c:xVal>
          <c:yVal>
            <c:numRef>
              <c:f>'Distribution – Urbain1'!$F$5:$F$247</c:f>
            </c:numRef>
          </c:yVal>
          <c:smooth val="0"/>
        </c:ser>
        <c:axId val="500010"/>
        <c:axId val="500020"/>
      </c:scatterChart>
      <c:valAx>
        <c:axId val="500010"/>
        <c:scaling>
          <c:orientation val="minMax"/>
          <c:max val="250.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surface de toit (m²)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020"/>
        <c:crosses val="autoZero"/>
        <c:crossBetween val="midCat"/>
      </c:valAx>
      <c:valAx>
        <c:axId val="500020"/>
        <c:scaling>
          <c:orientation val="minMax"/>
          <c:max val="1"/>
          <c:min val="0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fr-FR" sz="1000" b="1"/>
                  <a:t>part cumulée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010"/>
        <c:crosses val="autoZero"/>
        <c:crossBetween val="midCat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Relationships xmlns="http://schemas.openxmlformats.org/package/2006/relationships"><Relationship Id="rId1" Type="http://schemas.openxmlformats.org/officeDocument/2006/relationships/chart" Target="/xl/charts/chart1.xml"/><Relationship Id="rId2" Type="http://schemas.openxmlformats.org/officeDocument/2006/relationships/chart" Target="/xl/charts/chart2.xml"/></Relationships>
</file>

<file path=xl/drawings/_rels/drawing2.xml.rels><Relationships xmlns="http://schemas.openxmlformats.org/package/2006/relationships"><Relationship Id="rId1" Type="http://schemas.openxmlformats.org/officeDocument/2006/relationships/chart" Target="/xl/charts/chart3.xml"/><Relationship Id="rId2" Type="http://schemas.openxmlformats.org/officeDocument/2006/relationships/chart" Target="/xl/charts/chart4.xml"/></Relationships>
</file>

<file path=xl/drawings/_rels/drawing3.xml.rels><Relationships xmlns="http://schemas.openxmlformats.org/package/2006/relationships"><Relationship Id="rId1" Type="http://schemas.openxmlformats.org/officeDocument/2006/relationships/chart" Target="/xl/charts/chart5.xml"/><Relationship Id="rId2" Type="http://schemas.openxmlformats.org/officeDocument/2006/relationships/chart" Target="/xl/charts/chart6.xml"/></Relationships>
</file>

<file path=xl/drawings/_rels/drawing4.xml.rels><Relationships xmlns="http://schemas.openxmlformats.org/package/2006/relationships"><Relationship Id="rId1" Type="http://schemas.openxmlformats.org/officeDocument/2006/relationships/chart" Target="/xl/charts/chart7.xml"/><Relationship Id="rId2" Type="http://schemas.openxmlformats.org/officeDocument/2006/relationships/chart" Target="/xl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0</xdr:col>
      <xdr:colOff>0</xdr:colOff>
      <xdr:row>18</xdr:row>
      <xdr:rowOff>0</xdr:rowOff>
    </xdr:from>
    <xdr:ext cx="5760000" cy="3060000"/>
    <xdr:graphicFrame macro="">
      <xdr:nvGraphicFramePr>
        <xdr:cNvPr id="2" name="Habitants par toit selon la surface – Rur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5760000" cy="3060000"/>
    <xdr:graphicFrame macro="">
      <xdr:nvGraphicFramePr>
        <xdr:cNvPr id="3" name="Toits par classe – Rur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7</xdr:col>
      <xdr:colOff>0</xdr:colOff>
      <xdr:row>3</xdr:row>
      <xdr:rowOff>0</xdr:rowOff>
    </xdr:from>
    <xdr:ext cx="5760000" cy="3060000"/>
    <xdr:graphicFrame macro="">
      <xdr:nvGraphicFramePr>
        <xdr:cNvPr id="4" name="Toits par m² de surface – Rur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5760000" cy="3060000"/>
    <xdr:graphicFrame macro="">
      <xdr:nvGraphicFramePr>
        <xdr:cNvPr id="5" name="Parts cumulées – Rur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0</xdr:col>
      <xdr:colOff>0</xdr:colOff>
      <xdr:row>18</xdr:row>
      <xdr:rowOff>0</xdr:rowOff>
    </xdr:from>
    <xdr:ext cx="5760000" cy="3060000"/>
    <xdr:graphicFrame macro="">
      <xdr:nvGraphicFramePr>
        <xdr:cNvPr id="6" name="Habitants par toit selon la surface – Urbain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5760000" cy="3060000"/>
    <xdr:graphicFrame macro="">
      <xdr:nvGraphicFramePr>
        <xdr:cNvPr id="7" name="Toits par classe – Urbain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7</xdr:col>
      <xdr:colOff>0</xdr:colOff>
      <xdr:row>3</xdr:row>
      <xdr:rowOff>0</xdr:rowOff>
    </xdr:from>
    <xdr:ext cx="5760000" cy="3060000"/>
    <xdr:graphicFrame macro="">
      <xdr:nvGraphicFramePr>
        <xdr:cNvPr id="8" name="Toits par m² de surface – Urbain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5760000" cy="3060000"/>
    <xdr:graphicFrame macro="">
      <xdr:nvGraphicFramePr>
        <xdr:cNvPr id="9" name="Parts cumulées – Urbain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worksheets/_rels/sheet2.xml.rels><Relationships xmlns="http://schemas.openxmlformats.org/package/2006/relationships"><Relationship Id="rId1" Type="http://schemas.openxmlformats.org/officeDocument/2006/relationships/drawing" Target="/xl/drawings/drawing1.xml"/></Relationships>
</file>

<file path=xl/worksheets/_rels/sheet3.xml.rels><Relationships xmlns="http://schemas.openxmlformats.org/package/2006/relationships"><Relationship Id="rId1" Type="http://schemas.openxmlformats.org/officeDocument/2006/relationships/drawing" Target="/xl/drawings/drawing2.xml"/></Relationships>
</file>

<file path=xl/worksheets/_rels/sheet4.xml.rels><Relationships xmlns="http://schemas.openxmlformats.org/package/2006/relationships"><Relationship Id="rId1" Type="http://schemas.openxmlformats.org/officeDocument/2006/relationships/drawing" Target="/xl/drawings/drawing3.xml"/></Relationships>
</file>

<file path=xl/worksheets/_rels/sheet5.xml.rels><Relationships xmlns="http://schemas.openxmlformats.org/package/2006/relationships"><Relationship Id="rId1" Type="http://schemas.openxmlformats.org/officeDocument/2006/relationships/drawing" Target="/xl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" width="31.00" customWidth="1"/>
    <col min="2" max="2" width="22.00" customWidth="1"/>
    <col min="3" max="3" width="11.00" customWidth="1"/>
    <col min="4" max="4" width="14.00" customWidth="1"/>
    <col min="5" max="5" width="16.00" customWidth="1"/>
    <col min="6" max="6" width="18.00" customWidth="1"/>
    <col min="7" max="7" width="11.00" customWidth="1"/>
    <col min="8" max="8" width="14.00" customWidth="1"/>
    <col min="9" max="9" width="16.00" customWidth="1"/>
  </cols>
  <sheetData>
    <row r="1">
      <c r="A1" s="1" t="inlineStr">
        <is>
          <t xml:space="preserve">Calage des toits – Muramvya</t>
        </is>
      </c>
    </row>
    <row r="2">
      <c r="A2" s="9" t="inlineStr">
        <is>
          <t xml:space="preserve">Poplar 0.6.0 – classeur produit le 30/09/2026 12:37</t>
        </is>
      </c>
    </row>
    <row r="4">
      <c r="A4" s="12" t="inlineStr">
        <is>
          <t xml:space="preserve">Toits lus</t>
        </is>
      </c>
      <c r="B4" s="4">
        <v>38942</v>
      </c>
    </row>
    <row r="5">
      <c r="A5" s="12" t="inlineStr">
        <is>
          <t xml:space="preserve">Toits retenus</t>
        </is>
      </c>
      <c r="B5" s="4">
        <v>38942</v>
      </c>
    </row>
    <row r="6">
      <c r="A6" s="12" t="inlineStr">
        <is>
          <t xml:space="preserve">Population calculée</t>
        </is>
      </c>
      <c r="B6" s="4">
        <v>171283.0</v>
      </c>
    </row>
    <row r="7">
      <c r="A7" s="12" t="inlineStr">
        <is>
          <t xml:space="preserve">Recalage sur le recensement</t>
        </is>
      </c>
      <c r="B7" t="inlineStr">
        <is>
          <t xml:space="preserve">non (facteur proposé seulement)</t>
        </is>
      </c>
    </row>
    <row r="8">
      <c r="A8" s="12" t="inlineStr">
        <is>
          <t xml:space="preserve">Seuil d'alerte sur l'écart</t>
        </is>
      </c>
      <c r="B8" s="7">
        <v>0.02</v>
      </c>
    </row>
    <row r="9">
      <c r="A9" s="12" t="inlineStr">
        <is>
          <t xml:space="preserve">Année du recensement</t>
        </is>
      </c>
      <c r="B9">
        <v>2024</v>
      </c>
    </row>
    <row r="10">
      <c r="A10" s="12" t="inlineStr">
        <is>
          <t xml:space="preserve">Année visée</t>
        </is>
      </c>
      <c r="B10">
        <v>2024</v>
      </c>
    </row>
    <row r="12">
      <c r="A12" s="2" t="inlineStr">
        <is>
          <t xml:space="preserve">Groupes de calage</t>
        </is>
      </c>
    </row>
    <row r="13">
      <c r="A13" s="3" t="inlineStr">
        <is>
          <t xml:space="preserve">Groupe</t>
        </is>
      </c>
      <c r="B13" s="3" t="inlineStr">
        <is>
          <t xml:space="preserve">Strates</t>
        </is>
      </c>
      <c r="C13" s="3" t="inlineStr">
        <is>
          <t xml:space="preserve">Toits</t>
        </is>
      </c>
      <c r="D13" s="3" t="inlineStr">
        <is>
          <t xml:space="preserve">m² de toit par habitant</t>
        </is>
      </c>
      <c r="E13" s="3" t="inlineStr">
        <is>
          <t xml:space="preserve">Population calculée</t>
        </is>
      </c>
      <c r="F13" s="3" t="inlineStr">
        <is>
          <t xml:space="preserve">Population connue</t>
        </is>
      </c>
      <c r="G13" s="3" t="inlineStr">
        <is>
          <t xml:space="preserve">Écart</t>
        </is>
      </c>
      <c r="H13" s="3" t="inlineStr">
        <is>
          <t xml:space="preserve">Alerte</t>
        </is>
      </c>
    </row>
    <row r="14">
      <c r="A14" s="10" t="inlineStr">
        <is>
          <t xml:space="preserve">Rural</t>
        </is>
      </c>
      <c r="B14" s="11" t="inlineStr">
        <is>
          <t xml:space="preserve">MURAMVYA  RURAL</t>
        </is>
      </c>
      <c r="C14" s="4">
        <v>33246</v>
      </c>
      <c r="D14" s="6">
        <v>16.9</v>
      </c>
      <c r="E14" s="4">
        <v>136824.0</v>
      </c>
      <c r="F14" s="4">
        <v>136759.0</v>
      </c>
      <c r="G14" s="8">
        <v>0.00047528864645096647</v>
      </c>
      <c r="H14" t="inlineStr">
        <is>
          <t xml:space="preserve"/>
        </is>
      </c>
    </row>
    <row r="15">
      <c r="A15" s="10" t="inlineStr">
        <is>
          <t xml:space="preserve">Urbain1</t>
        </is>
      </c>
      <c r="B15" s="11" t="inlineStr">
        <is>
          <t xml:space="preserve">MURAMVYA URBAIN</t>
        </is>
      </c>
      <c r="C15" s="4">
        <v>5696</v>
      </c>
      <c r="D15" s="6">
        <v>12.34</v>
      </c>
      <c r="E15" s="4">
        <v>34459.0</v>
      </c>
      <c r="F15" s="4">
        <v>34251.0</v>
      </c>
      <c r="G15" s="8">
        <v>0.006072815392251352</v>
      </c>
      <c r="H15" t="inlineStr">
        <is>
          <t xml:space="preserve"/>
        </is>
      </c>
    </row>
    <row r="17">
      <c r="A17" s="2" t="inlineStr">
        <is>
          <t xml:space="preserve">Strates</t>
        </is>
      </c>
    </row>
    <row r="18">
      <c r="A18" s="3" t="inlineStr">
        <is>
          <t xml:space="preserve">Strate</t>
        </is>
      </c>
      <c r="B18" s="3" t="inlineStr">
        <is>
          <t xml:space="preserve">Groupe</t>
        </is>
      </c>
      <c r="C18" s="3" t="inlineStr">
        <is>
          <t xml:space="preserve">Toits</t>
        </is>
      </c>
      <c r="D18" s="3" t="inlineStr">
        <is>
          <t xml:space="preserve">Population calculée</t>
        </is>
      </c>
      <c r="E18" s="3" t="inlineStr">
        <is>
          <t xml:space="preserve">Population connue (année visée)</t>
        </is>
      </c>
      <c r="F18" s="3" t="inlineStr">
        <is>
          <t xml:space="preserve">Écart</t>
        </is>
      </c>
      <c r="G18" s="3" t="inlineStr">
        <is>
          <t xml:space="preserve">Facteur proposé</t>
        </is>
      </c>
      <c r="H18" s="3" t="inlineStr">
        <is>
          <t xml:space="preserve">Facteur appliqué</t>
        </is>
      </c>
      <c r="I18" s="3" t="inlineStr">
        <is>
          <t xml:space="preserve">Population retenue</t>
        </is>
      </c>
    </row>
    <row r="19">
      <c r="A19" s="10" t="inlineStr">
        <is>
          <t xml:space="preserve">MURAMVYA  RURAL</t>
        </is>
      </c>
      <c r="B19" t="inlineStr">
        <is>
          <t xml:space="preserve">Rural</t>
        </is>
      </c>
      <c r="C19" s="4">
        <v>33246</v>
      </c>
      <c r="D19" s="4">
        <v>136824.0</v>
      </c>
      <c r="E19" s="4">
        <v>136759.0</v>
      </c>
      <c r="F19" s="8">
        <v>0.00047528864645096647</v>
      </c>
      <c r="G19" s="6">
        <v>0.99952493714553</v>
      </c>
      <c r="H19" s="6">
        <v>1.0</v>
      </c>
      <c r="I19" s="4">
        <v>136824.0</v>
      </c>
    </row>
    <row r="20">
      <c r="A20" s="10" t="inlineStr">
        <is>
          <t xml:space="preserve">MURAMVYA URBAIN</t>
        </is>
      </c>
      <c r="B20" t="inlineStr">
        <is>
          <t xml:space="preserve">Urbain1</t>
        </is>
      </c>
      <c r="C20" s="4">
        <v>5696</v>
      </c>
      <c r="D20" s="4">
        <v>34459.0</v>
      </c>
      <c r="E20" s="4">
        <v>34251.0</v>
      </c>
      <c r="F20" s="8">
        <v>0.006072815392251352</v>
      </c>
      <c r="G20" s="6">
        <v>0.9939638410865086</v>
      </c>
      <c r="H20" s="6">
        <v>1.0</v>
      </c>
      <c r="I20" s="4">
        <v>34459.0</v>
      </c>
    </row>
    <row r="22">
      <c r="A22" s="9" t="inlineStr">
        <is>
          <t xml:space="preserve">Écart = population calculée à partir des toits ÷ population connue − 1. Au-delà du seuil d'alerte, le calage est à revoir (classes, plancher, plafond ou surface par habitant).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4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9.00" customWidth="1"/>
    <col min="2" max="2" width="10.00" customWidth="1"/>
    <col min="3" max="3" width="10.00" customWidth="1"/>
    <col min="4" max="4" width="10.00" customWidth="1"/>
    <col min="5" max="5" width="15.00" customWidth="1"/>
    <col min="6" max="6" width="16.00" customWidth="1"/>
    <col min="7" max="7" width="16.00" customWidth="1"/>
    <col min="8" max="8" width="14.00" customWidth="1"/>
    <col min="11" max="11" width="15.00" customWidth="1"/>
    <col min="12" max="12" width="15.00" customWidth="1"/>
    <col min="13" max="13" width="15.00" customWidth="1"/>
    <col min="14" max="14" width="15.00" customWidth="1"/>
  </cols>
  <sheetData>
    <row r="1">
      <c r="A1" s="1" t="inlineStr">
        <is>
          <t xml:space="preserve">Classes de surface – Rural</t>
        </is>
      </c>
    </row>
    <row r="2">
      <c r="A2" s="9" t="inlineStr">
        <is>
          <t xml:space="preserve">16,9 m² de toit par habitant ; classes de 10,4 à 119,7 m² ; courbe : paliers</t>
        </is>
      </c>
    </row>
    <row r="4">
      <c r="A4" s="3" t="inlineStr">
        <is>
          <t xml:space="preserve">Classe</t>
        </is>
      </c>
      <c r="B4" s="3" t="inlineStr">
        <is>
          <t xml:space="preserve">De (m²)</t>
        </is>
      </c>
      <c r="C4" s="3" t="inlineStr">
        <is>
          <t xml:space="preserve">À (m²)</t>
        </is>
      </c>
      <c r="D4" s="3" t="inlineStr">
        <is>
          <t xml:space="preserve">Toits</t>
        </is>
      </c>
      <c r="E4" s="3" t="inlineStr">
        <is>
          <t xml:space="preserve">Surface moyenne (m²)</t>
        </is>
      </c>
      <c r="F4" s="3" t="inlineStr">
        <is>
          <t xml:space="preserve">Habitants proposés</t>
        </is>
      </c>
      <c r="G4" s="3" t="inlineStr">
        <is>
          <t xml:space="preserve">Habitants retenus</t>
        </is>
      </c>
      <c r="H4" s="3" t="inlineStr">
        <is>
          <t xml:space="preserve">Population</t>
        </is>
      </c>
      <c r="K4" s="2" t="inlineStr">
        <is>
          <t xml:space="preserve">Données des graphiques</t>
        </is>
      </c>
      <c r="L4" s="2"/>
      <c r="M4" s="2"/>
      <c r="N4" s="2"/>
    </row>
    <row r="5">
      <c r="A5" s="4">
        <v>1</v>
      </c>
      <c r="B5" s="5">
        <v>10.4</v>
      </c>
      <c r="C5" s="5">
        <v>26.0</v>
      </c>
      <c r="D5" s="4">
        <v>2594.0</v>
      </c>
      <c r="E5" s="5">
        <v>18.845</v>
      </c>
      <c r="F5" s="4">
        <v>1.0</v>
      </c>
      <c r="G5" s="4">
        <v>1.0</v>
      </c>
      <c r="H5" s="4">
        <f>D5*G5</f>
      </c>
      <c r="K5" s="3" t="inlineStr">
        <is>
          <t xml:space="preserve">Surface (m²)</t>
        </is>
      </c>
      <c r="L5" s="3" t="inlineStr">
        <is>
          <t xml:space="preserve">Habitants par toit (courbe)</t>
        </is>
      </c>
      <c r="M5" s="3" t="inlineStr">
        <is>
          <t xml:space="preserve">Surface moyenne de la classe</t>
        </is>
      </c>
      <c r="N5" s="3" t="inlineStr">
        <is>
          <t xml:space="preserve">Habitants retenus (classes)</t>
        </is>
      </c>
    </row>
    <row r="6">
      <c r="A6" s="4">
        <v>2</v>
      </c>
      <c r="B6" s="5">
        <v>26.0</v>
      </c>
      <c r="C6" s="5">
        <v>40.0</v>
      </c>
      <c r="D6" s="4">
        <v>3033.0</v>
      </c>
      <c r="E6" s="5">
        <v>33.381</v>
      </c>
      <c r="F6" s="4">
        <v>2.0</v>
      </c>
      <c r="G6" s="4">
        <v>2.0</v>
      </c>
      <c r="H6" s="4">
        <f>D6*G6</f>
      </c>
      <c r="K6" s="5">
        <v>0.0</v>
      </c>
      <c r="L6" s="5">
        <v>0.0</v>
      </c>
      <c r="M6" s="5">
        <v>18.845</v>
      </c>
      <c r="N6" s="4">
        <v>1.0</v>
      </c>
    </row>
    <row r="7">
      <c r="A7" s="4">
        <v>3</v>
      </c>
      <c r="B7" s="5">
        <v>40.0</v>
      </c>
      <c r="C7" s="5">
        <v>53.0</v>
      </c>
      <c r="D7" s="4">
        <v>3841.0</v>
      </c>
      <c r="E7" s="5">
        <v>46.772</v>
      </c>
      <c r="F7" s="4">
        <v>3.0</v>
      </c>
      <c r="G7" s="4">
        <v>3.0</v>
      </c>
      <c r="H7" s="4">
        <f>D7*G7</f>
      </c>
      <c r="K7" s="5">
        <v>1.0</v>
      </c>
      <c r="L7" s="5">
        <v>0.0</v>
      </c>
      <c r="M7" s="5">
        <v>33.381</v>
      </c>
      <c r="N7" s="4">
        <v>2.0</v>
      </c>
    </row>
    <row r="8">
      <c r="A8" s="4">
        <v>4</v>
      </c>
      <c r="B8" s="5">
        <v>53.0</v>
      </c>
      <c r="C8" s="5">
        <v>65.0</v>
      </c>
      <c r="D8" s="4">
        <v>4776.0</v>
      </c>
      <c r="E8" s="5">
        <v>59.2</v>
      </c>
      <c r="F8" s="4">
        <v>4.0</v>
      </c>
      <c r="G8" s="4">
        <v>4.0</v>
      </c>
      <c r="H8" s="4">
        <f>D8*G8</f>
      </c>
      <c r="K8" s="5">
        <v>2.0</v>
      </c>
      <c r="L8" s="5">
        <v>0.0</v>
      </c>
      <c r="M8" s="5">
        <v>46.772</v>
      </c>
      <c r="N8" s="4">
        <v>3.0</v>
      </c>
    </row>
    <row r="9">
      <c r="A9" s="4">
        <v>5</v>
      </c>
      <c r="B9" s="5">
        <v>65.0</v>
      </c>
      <c r="C9" s="5">
        <v>76.0</v>
      </c>
      <c r="D9" s="4">
        <v>4743.0</v>
      </c>
      <c r="E9" s="5">
        <v>70.471</v>
      </c>
      <c r="F9" s="4">
        <v>4.0</v>
      </c>
      <c r="G9" s="4">
        <v>4.0</v>
      </c>
      <c r="H9" s="4">
        <f>D9*G9</f>
      </c>
      <c r="K9" s="5">
        <v>3.0</v>
      </c>
      <c r="L9" s="5">
        <v>0.0</v>
      </c>
      <c r="M9" s="5">
        <v>59.2</v>
      </c>
      <c r="N9" s="4">
        <v>4.0</v>
      </c>
    </row>
    <row r="10">
      <c r="A10" s="4">
        <v>6</v>
      </c>
      <c r="B10" s="5">
        <v>76.0</v>
      </c>
      <c r="C10" s="5">
        <v>88.0</v>
      </c>
      <c r="D10" s="4">
        <v>4469.0</v>
      </c>
      <c r="E10" s="5">
        <v>81.816</v>
      </c>
      <c r="F10" s="4">
        <v>5.0</v>
      </c>
      <c r="G10" s="4">
        <v>5.0</v>
      </c>
      <c r="H10" s="4">
        <f>D10*G10</f>
      </c>
      <c r="K10" s="5">
        <v>4.0</v>
      </c>
      <c r="L10" s="5">
        <v>0.0</v>
      </c>
      <c r="M10" s="5">
        <v>70.471</v>
      </c>
      <c r="N10" s="4">
        <v>4.0</v>
      </c>
    </row>
    <row r="11">
      <c r="A11" s="4">
        <v>7</v>
      </c>
      <c r="B11" s="5">
        <v>88.0</v>
      </c>
      <c r="C11" s="5">
        <v>102.0</v>
      </c>
      <c r="D11" s="4">
        <v>3560.0</v>
      </c>
      <c r="E11" s="5">
        <v>94.327</v>
      </c>
      <c r="F11" s="4">
        <v>6.0</v>
      </c>
      <c r="G11" s="4">
        <v>6.0</v>
      </c>
      <c r="H11" s="4">
        <f>D11*G11</f>
      </c>
      <c r="K11" s="5">
        <v>5.0</v>
      </c>
      <c r="L11" s="5">
        <v>0.0</v>
      </c>
      <c r="M11" s="5">
        <v>81.816</v>
      </c>
      <c r="N11" s="4">
        <v>5.0</v>
      </c>
    </row>
    <row r="12">
      <c r="A12" s="4">
        <v>8</v>
      </c>
      <c r="B12" s="5">
        <v>102.0</v>
      </c>
      <c r="C12" s="5">
        <v>119.7</v>
      </c>
      <c r="D12" s="4">
        <v>5810.0</v>
      </c>
      <c r="E12" s="5">
        <v>109.735</v>
      </c>
      <c r="F12" s="4">
        <v>6.0</v>
      </c>
      <c r="G12" s="4">
        <v>6.0</v>
      </c>
      <c r="H12" s="4">
        <f>D12*G12</f>
      </c>
      <c r="K12" s="5">
        <v>6.0</v>
      </c>
      <c r="L12" s="5">
        <v>0.0</v>
      </c>
      <c r="M12" s="5">
        <v>94.327</v>
      </c>
      <c r="N12" s="4">
        <v>6.0</v>
      </c>
    </row>
    <row r="13">
      <c r="A13" s="14" t="inlineStr">
        <is>
          <t xml:space="preserve">Total</t>
        </is>
      </c>
      <c r="B13" s="14"/>
      <c r="C13" s="14"/>
      <c r="D13" s="14">
        <f>SUM(D5:D12)</f>
      </c>
      <c r="E13" s="14"/>
      <c r="F13" s="14"/>
      <c r="G13" s="14"/>
      <c r="H13" s="14">
        <f>SUM(H5:H12)</f>
      </c>
      <c r="K13" s="5">
        <v>7.0</v>
      </c>
      <c r="L13" s="5">
        <v>0.0</v>
      </c>
      <c r="M13" s="5">
        <v>109.735</v>
      </c>
      <c r="N13" s="4">
        <v>6.0</v>
      </c>
    </row>
    <row r="14">
      <c r="K14" s="5">
        <v>8.0</v>
      </c>
      <c r="L14" s="5">
        <v>0.0</v>
      </c>
    </row>
    <row r="15">
      <c r="A15" s="9" t="inlineStr">
        <is>
          <t xml:space="preserve">327 toits sous le plancher (10,4 m²) : sans habitants.</t>
        </is>
      </c>
      <c r="K15" s="5">
        <v>9.0</v>
      </c>
      <c r="L15" s="5">
        <v>0.0</v>
      </c>
    </row>
    <row r="16">
      <c r="A16" s="9" t="inlineStr">
        <is>
          <t xml:space="preserve">93 toits au-delà de 450 m² : écartés (bâtiments non résidentiels probables).</t>
        </is>
      </c>
      <c r="K16" s="5">
        <v>10.0</v>
      </c>
      <c r="L16" s="5">
        <v>0.0</v>
      </c>
    </row>
    <row r="17">
      <c r="A17" s="9" t="inlineStr">
        <is>
          <t xml:space="preserve">Population = toits × habitants retenus (formule Excel : modifiez un nombre d'habitants pour voir l'effet). Les toits au-dessus du plafond reçoivent la valeur de la dernière classe et ne figurent pas dans ce total.</t>
        </is>
      </c>
      <c r="K17" s="5">
        <v>11.0</v>
      </c>
      <c r="L17" s="5">
        <v>1.0</v>
      </c>
    </row>
    <row r="18">
      <c r="K18" s="5">
        <v>12.0</v>
      </c>
      <c r="L18" s="5">
        <v>1.0</v>
      </c>
    </row>
    <row r="19">
      <c r="K19" s="5">
        <v>13.0</v>
      </c>
      <c r="L19" s="5">
        <v>1.0</v>
      </c>
    </row>
    <row r="20">
      <c r="K20" s="5">
        <v>14.0</v>
      </c>
      <c r="L20" s="5">
        <v>1.0</v>
      </c>
    </row>
    <row r="21">
      <c r="K21" s="5">
        <v>15.0</v>
      </c>
      <c r="L21" s="5">
        <v>1.0</v>
      </c>
    </row>
    <row r="22">
      <c r="K22" s="5">
        <v>16.0</v>
      </c>
      <c r="L22" s="5">
        <v>1.0</v>
      </c>
    </row>
    <row r="23">
      <c r="K23" s="5">
        <v>17.0</v>
      </c>
      <c r="L23" s="5">
        <v>1.0</v>
      </c>
    </row>
    <row r="24">
      <c r="K24" s="5">
        <v>18.0</v>
      </c>
      <c r="L24" s="5">
        <v>1.0</v>
      </c>
    </row>
    <row r="25">
      <c r="K25" s="5">
        <v>19.0</v>
      </c>
      <c r="L25" s="5">
        <v>1.0</v>
      </c>
    </row>
    <row r="26">
      <c r="K26" s="5">
        <v>20.0</v>
      </c>
      <c r="L26" s="5">
        <v>1.0</v>
      </c>
    </row>
    <row r="27">
      <c r="K27" s="5">
        <v>21.0</v>
      </c>
      <c r="L27" s="5">
        <v>1.0</v>
      </c>
    </row>
    <row r="28">
      <c r="K28" s="5">
        <v>22.0</v>
      </c>
      <c r="L28" s="5">
        <v>1.0</v>
      </c>
    </row>
    <row r="29">
      <c r="K29" s="5">
        <v>23.0</v>
      </c>
      <c r="L29" s="5">
        <v>1.0</v>
      </c>
    </row>
    <row r="30">
      <c r="K30" s="5">
        <v>24.0</v>
      </c>
      <c r="L30" s="5">
        <v>1.0</v>
      </c>
    </row>
    <row r="31">
      <c r="K31" s="5">
        <v>25.0</v>
      </c>
      <c r="L31" s="5">
        <v>1.0</v>
      </c>
    </row>
    <row r="32">
      <c r="K32" s="5">
        <v>26.0</v>
      </c>
      <c r="L32" s="5">
        <v>2.0</v>
      </c>
    </row>
    <row r="33">
      <c r="K33" s="5">
        <v>27.0</v>
      </c>
      <c r="L33" s="5">
        <v>2.0</v>
      </c>
    </row>
    <row r="34">
      <c r="K34" s="5">
        <v>28.0</v>
      </c>
      <c r="L34" s="5">
        <v>2.0</v>
      </c>
    </row>
    <row r="35">
      <c r="K35" s="5">
        <v>29.0</v>
      </c>
      <c r="L35" s="5">
        <v>2.0</v>
      </c>
    </row>
    <row r="36">
      <c r="K36" s="5">
        <v>30.0</v>
      </c>
      <c r="L36" s="5">
        <v>2.0</v>
      </c>
    </row>
    <row r="37">
      <c r="K37" s="5">
        <v>31.0</v>
      </c>
      <c r="L37" s="5">
        <v>2.0</v>
      </c>
    </row>
    <row r="38">
      <c r="K38" s="5">
        <v>32.0</v>
      </c>
      <c r="L38" s="5">
        <v>2.0</v>
      </c>
    </row>
    <row r="39">
      <c r="K39" s="5">
        <v>33.0</v>
      </c>
      <c r="L39" s="5">
        <v>2.0</v>
      </c>
    </row>
    <row r="40">
      <c r="K40" s="5">
        <v>34.0</v>
      </c>
      <c r="L40" s="5">
        <v>2.0</v>
      </c>
    </row>
    <row r="41">
      <c r="K41" s="5">
        <v>35.0</v>
      </c>
      <c r="L41" s="5">
        <v>2.0</v>
      </c>
    </row>
    <row r="42">
      <c r="K42" s="5">
        <v>36.0</v>
      </c>
      <c r="L42" s="5">
        <v>2.0</v>
      </c>
    </row>
    <row r="43">
      <c r="K43" s="5">
        <v>37.0</v>
      </c>
      <c r="L43" s="5">
        <v>2.0</v>
      </c>
    </row>
    <row r="44">
      <c r="K44" s="5">
        <v>38.0</v>
      </c>
      <c r="L44" s="5">
        <v>2.0</v>
      </c>
    </row>
    <row r="45">
      <c r="K45" s="5">
        <v>39.0</v>
      </c>
      <c r="L45" s="5">
        <v>2.0</v>
      </c>
    </row>
    <row r="46">
      <c r="K46" s="5">
        <v>40.0</v>
      </c>
      <c r="L46" s="5">
        <v>3.0</v>
      </c>
    </row>
    <row r="47">
      <c r="K47" s="5">
        <v>41.0</v>
      </c>
      <c r="L47" s="5">
        <v>3.0</v>
      </c>
    </row>
    <row r="48">
      <c r="K48" s="5">
        <v>42.0</v>
      </c>
      <c r="L48" s="5">
        <v>3.0</v>
      </c>
    </row>
    <row r="49">
      <c r="K49" s="5">
        <v>43.0</v>
      </c>
      <c r="L49" s="5">
        <v>3.0</v>
      </c>
    </row>
    <row r="50">
      <c r="K50" s="5">
        <v>44.0</v>
      </c>
      <c r="L50" s="5">
        <v>3.0</v>
      </c>
    </row>
    <row r="51">
      <c r="K51" s="5">
        <v>45.0</v>
      </c>
      <c r="L51" s="5">
        <v>3.0</v>
      </c>
    </row>
    <row r="52">
      <c r="K52" s="5">
        <v>46.0</v>
      </c>
      <c r="L52" s="5">
        <v>3.0</v>
      </c>
    </row>
    <row r="53">
      <c r="K53" s="5">
        <v>47.0</v>
      </c>
      <c r="L53" s="5">
        <v>3.0</v>
      </c>
    </row>
    <row r="54">
      <c r="K54" s="5">
        <v>48.0</v>
      </c>
      <c r="L54" s="5">
        <v>3.0</v>
      </c>
    </row>
    <row r="55">
      <c r="K55" s="5">
        <v>49.0</v>
      </c>
      <c r="L55" s="5">
        <v>3.0</v>
      </c>
    </row>
    <row r="56">
      <c r="K56" s="5">
        <v>50.0</v>
      </c>
      <c r="L56" s="5">
        <v>3.0</v>
      </c>
    </row>
    <row r="57">
      <c r="K57" s="5">
        <v>51.0</v>
      </c>
      <c r="L57" s="5">
        <v>3.0</v>
      </c>
    </row>
    <row r="58">
      <c r="K58" s="5">
        <v>52.0</v>
      </c>
      <c r="L58" s="5">
        <v>3.0</v>
      </c>
    </row>
    <row r="59">
      <c r="K59" s="5">
        <v>53.0</v>
      </c>
      <c r="L59" s="5">
        <v>4.0</v>
      </c>
    </row>
    <row r="60">
      <c r="K60" s="5">
        <v>54.0</v>
      </c>
      <c r="L60" s="5">
        <v>4.0</v>
      </c>
    </row>
    <row r="61">
      <c r="K61" s="5">
        <v>55.0</v>
      </c>
      <c r="L61" s="5">
        <v>4.0</v>
      </c>
    </row>
    <row r="62">
      <c r="K62" s="5">
        <v>56.0</v>
      </c>
      <c r="L62" s="5">
        <v>4.0</v>
      </c>
    </row>
    <row r="63">
      <c r="K63" s="5">
        <v>57.0</v>
      </c>
      <c r="L63" s="5">
        <v>4.0</v>
      </c>
    </row>
    <row r="64">
      <c r="K64" s="5">
        <v>58.0</v>
      </c>
      <c r="L64" s="5">
        <v>4.0</v>
      </c>
    </row>
    <row r="65">
      <c r="K65" s="5">
        <v>59.0</v>
      </c>
      <c r="L65" s="5">
        <v>4.0</v>
      </c>
    </row>
    <row r="66">
      <c r="K66" s="5">
        <v>60.0</v>
      </c>
      <c r="L66" s="5">
        <v>4.0</v>
      </c>
    </row>
    <row r="67">
      <c r="K67" s="5">
        <v>61.0</v>
      </c>
      <c r="L67" s="5">
        <v>4.0</v>
      </c>
    </row>
    <row r="68">
      <c r="K68" s="5">
        <v>62.0</v>
      </c>
      <c r="L68" s="5">
        <v>4.0</v>
      </c>
    </row>
    <row r="69">
      <c r="K69" s="5">
        <v>63.0</v>
      </c>
      <c r="L69" s="5">
        <v>4.0</v>
      </c>
    </row>
    <row r="70">
      <c r="K70" s="5">
        <v>64.0</v>
      </c>
      <c r="L70" s="5">
        <v>4.0</v>
      </c>
    </row>
    <row r="71">
      <c r="K71" s="5">
        <v>65.0</v>
      </c>
      <c r="L71" s="5">
        <v>4.0</v>
      </c>
    </row>
    <row r="72">
      <c r="K72" s="5">
        <v>66.0</v>
      </c>
      <c r="L72" s="5">
        <v>4.0</v>
      </c>
    </row>
    <row r="73">
      <c r="K73" s="5">
        <v>67.0</v>
      </c>
      <c r="L73" s="5">
        <v>4.0</v>
      </c>
    </row>
    <row r="74">
      <c r="K74" s="5">
        <v>68.0</v>
      </c>
      <c r="L74" s="5">
        <v>4.0</v>
      </c>
    </row>
    <row r="75">
      <c r="K75" s="5">
        <v>69.0</v>
      </c>
      <c r="L75" s="5">
        <v>4.0</v>
      </c>
    </row>
    <row r="76">
      <c r="K76" s="5">
        <v>70.0</v>
      </c>
      <c r="L76" s="5">
        <v>4.0</v>
      </c>
    </row>
    <row r="77">
      <c r="K77" s="5">
        <v>71.0</v>
      </c>
      <c r="L77" s="5">
        <v>4.0</v>
      </c>
    </row>
    <row r="78">
      <c r="K78" s="5">
        <v>72.0</v>
      </c>
      <c r="L78" s="5">
        <v>4.0</v>
      </c>
    </row>
    <row r="79">
      <c r="K79" s="5">
        <v>73.0</v>
      </c>
      <c r="L79" s="5">
        <v>4.0</v>
      </c>
    </row>
    <row r="80">
      <c r="K80" s="5">
        <v>74.0</v>
      </c>
      <c r="L80" s="5">
        <v>4.0</v>
      </c>
    </row>
    <row r="81">
      <c r="K81" s="5">
        <v>75.0</v>
      </c>
      <c r="L81" s="5">
        <v>4.0</v>
      </c>
    </row>
    <row r="82">
      <c r="K82" s="5">
        <v>76.0</v>
      </c>
      <c r="L82" s="5">
        <v>5.0</v>
      </c>
    </row>
    <row r="83">
      <c r="K83" s="5">
        <v>77.0</v>
      </c>
      <c r="L83" s="5">
        <v>5.0</v>
      </c>
    </row>
    <row r="84">
      <c r="K84" s="5">
        <v>78.0</v>
      </c>
      <c r="L84" s="5">
        <v>5.0</v>
      </c>
    </row>
    <row r="85">
      <c r="K85" s="5">
        <v>79.0</v>
      </c>
      <c r="L85" s="5">
        <v>5.0</v>
      </c>
    </row>
    <row r="86">
      <c r="K86" s="5">
        <v>80.0</v>
      </c>
      <c r="L86" s="5">
        <v>5.0</v>
      </c>
    </row>
    <row r="87">
      <c r="K87" s="5">
        <v>81.0</v>
      </c>
      <c r="L87" s="5">
        <v>5.0</v>
      </c>
    </row>
    <row r="88">
      <c r="K88" s="5">
        <v>82.0</v>
      </c>
      <c r="L88" s="5">
        <v>5.0</v>
      </c>
    </row>
    <row r="89">
      <c r="K89" s="5">
        <v>83.0</v>
      </c>
      <c r="L89" s="5">
        <v>5.0</v>
      </c>
    </row>
    <row r="90">
      <c r="K90" s="5">
        <v>84.0</v>
      </c>
      <c r="L90" s="5">
        <v>5.0</v>
      </c>
    </row>
    <row r="91">
      <c r="K91" s="5">
        <v>85.0</v>
      </c>
      <c r="L91" s="5">
        <v>5.0</v>
      </c>
    </row>
    <row r="92">
      <c r="K92" s="5">
        <v>86.0</v>
      </c>
      <c r="L92" s="5">
        <v>5.0</v>
      </c>
    </row>
    <row r="93">
      <c r="K93" s="5">
        <v>87.0</v>
      </c>
      <c r="L93" s="5">
        <v>5.0</v>
      </c>
    </row>
    <row r="94">
      <c r="K94" s="5">
        <v>88.0</v>
      </c>
      <c r="L94" s="5">
        <v>6.0</v>
      </c>
    </row>
    <row r="95">
      <c r="K95" s="5">
        <v>89.0</v>
      </c>
      <c r="L95" s="5">
        <v>6.0</v>
      </c>
    </row>
    <row r="96">
      <c r="K96" s="5">
        <v>90.0</v>
      </c>
      <c r="L96" s="5">
        <v>6.0</v>
      </c>
    </row>
    <row r="97">
      <c r="K97" s="5">
        <v>91.0</v>
      </c>
      <c r="L97" s="5">
        <v>6.0</v>
      </c>
    </row>
    <row r="98">
      <c r="K98" s="5">
        <v>92.0</v>
      </c>
      <c r="L98" s="5">
        <v>6.0</v>
      </c>
    </row>
    <row r="99">
      <c r="K99" s="5">
        <v>93.0</v>
      </c>
      <c r="L99" s="5">
        <v>6.0</v>
      </c>
    </row>
    <row r="100">
      <c r="K100" s="5">
        <v>94.0</v>
      </c>
      <c r="L100" s="5">
        <v>6.0</v>
      </c>
    </row>
    <row r="101">
      <c r="K101" s="5">
        <v>95.0</v>
      </c>
      <c r="L101" s="5">
        <v>6.0</v>
      </c>
    </row>
    <row r="102">
      <c r="K102" s="5">
        <v>96.0</v>
      </c>
      <c r="L102" s="5">
        <v>6.0</v>
      </c>
    </row>
    <row r="103">
      <c r="K103" s="5">
        <v>97.0</v>
      </c>
      <c r="L103" s="5">
        <v>6.0</v>
      </c>
    </row>
    <row r="104">
      <c r="K104" s="5">
        <v>98.0</v>
      </c>
      <c r="L104" s="5">
        <v>6.0</v>
      </c>
    </row>
    <row r="105">
      <c r="K105" s="5">
        <v>99.0</v>
      </c>
      <c r="L105" s="5">
        <v>6.0</v>
      </c>
    </row>
    <row r="106">
      <c r="K106" s="5">
        <v>100.0</v>
      </c>
      <c r="L106" s="5">
        <v>6.0</v>
      </c>
    </row>
    <row r="107">
      <c r="K107" s="5">
        <v>101.0</v>
      </c>
      <c r="L107" s="5">
        <v>6.0</v>
      </c>
    </row>
    <row r="108">
      <c r="K108" s="5">
        <v>102.0</v>
      </c>
      <c r="L108" s="5">
        <v>6.0</v>
      </c>
    </row>
    <row r="109">
      <c r="K109" s="5">
        <v>103.0</v>
      </c>
      <c r="L109" s="5">
        <v>6.0</v>
      </c>
    </row>
    <row r="110">
      <c r="K110" s="5">
        <v>104.0</v>
      </c>
      <c r="L110" s="5">
        <v>6.0</v>
      </c>
    </row>
    <row r="111">
      <c r="K111" s="5">
        <v>105.0</v>
      </c>
      <c r="L111" s="5">
        <v>6.0</v>
      </c>
    </row>
    <row r="112">
      <c r="K112" s="5">
        <v>106.0</v>
      </c>
      <c r="L112" s="5">
        <v>6.0</v>
      </c>
    </row>
    <row r="113">
      <c r="K113" s="5">
        <v>107.0</v>
      </c>
      <c r="L113" s="5">
        <v>6.0</v>
      </c>
    </row>
    <row r="114">
      <c r="K114" s="5">
        <v>108.0</v>
      </c>
      <c r="L114" s="5">
        <v>6.0</v>
      </c>
    </row>
    <row r="115">
      <c r="K115" s="5">
        <v>109.0</v>
      </c>
      <c r="L115" s="5">
        <v>6.0</v>
      </c>
    </row>
    <row r="116">
      <c r="K116" s="5">
        <v>110.0</v>
      </c>
      <c r="L116" s="5">
        <v>6.0</v>
      </c>
    </row>
    <row r="117">
      <c r="K117" s="5">
        <v>111.0</v>
      </c>
      <c r="L117" s="5">
        <v>6.0</v>
      </c>
    </row>
    <row r="118">
      <c r="K118" s="5">
        <v>112.0</v>
      </c>
      <c r="L118" s="5">
        <v>6.0</v>
      </c>
    </row>
    <row r="119">
      <c r="K119" s="5">
        <v>113.0</v>
      </c>
      <c r="L119" s="5">
        <v>6.0</v>
      </c>
    </row>
    <row r="120">
      <c r="K120" s="5">
        <v>114.0</v>
      </c>
      <c r="L120" s="5">
        <v>6.0</v>
      </c>
    </row>
    <row r="121">
      <c r="K121" s="5">
        <v>115.0</v>
      </c>
      <c r="L121" s="5">
        <v>6.0</v>
      </c>
    </row>
    <row r="122">
      <c r="K122" s="5">
        <v>116.0</v>
      </c>
      <c r="L122" s="5">
        <v>6.0</v>
      </c>
    </row>
    <row r="123">
      <c r="K123" s="5">
        <v>117.0</v>
      </c>
      <c r="L123" s="5">
        <v>6.0</v>
      </c>
    </row>
    <row r="124">
      <c r="K124" s="5">
        <v>118.0</v>
      </c>
      <c r="L124" s="5">
        <v>6.0</v>
      </c>
    </row>
    <row r="125">
      <c r="K125" s="5">
        <v>119.0</v>
      </c>
      <c r="L125" s="5">
        <v>6.0</v>
      </c>
    </row>
    <row r="126">
      <c r="K126" s="5">
        <v>120.0</v>
      </c>
      <c r="L126" s="5">
        <v>6.0</v>
      </c>
    </row>
    <row r="127">
      <c r="K127" s="5">
        <v>121.0</v>
      </c>
      <c r="L127" s="5">
        <v>6.0</v>
      </c>
    </row>
    <row r="128">
      <c r="K128" s="5">
        <v>122.0</v>
      </c>
      <c r="L128" s="5">
        <v>6.0</v>
      </c>
    </row>
    <row r="129">
      <c r="K129" s="5">
        <v>123.0</v>
      </c>
      <c r="L129" s="5">
        <v>6.0</v>
      </c>
    </row>
    <row r="130">
      <c r="K130" s="5">
        <v>124.0</v>
      </c>
      <c r="L130" s="5">
        <v>6.0</v>
      </c>
    </row>
    <row r="131">
      <c r="K131" s="5">
        <v>125.0</v>
      </c>
      <c r="L131" s="5">
        <v>6.0</v>
      </c>
    </row>
    <row r="132">
      <c r="K132" s="5">
        <v>126.0</v>
      </c>
      <c r="L132" s="5">
        <v>6.0</v>
      </c>
    </row>
    <row r="133">
      <c r="K133" s="5">
        <v>127.0</v>
      </c>
      <c r="L133" s="5">
        <v>6.0</v>
      </c>
    </row>
    <row r="134">
      <c r="K134" s="5">
        <v>128.0</v>
      </c>
      <c r="L134" s="5">
        <v>6.0</v>
      </c>
    </row>
    <row r="135">
      <c r="K135" s="5">
        <v>129.0</v>
      </c>
      <c r="L135" s="5">
        <v>6.0</v>
      </c>
    </row>
    <row r="136">
      <c r="K136" s="5">
        <v>130.0</v>
      </c>
      <c r="L136" s="5">
        <v>6.0</v>
      </c>
    </row>
    <row r="137">
      <c r="K137" s="5">
        <v>131.0</v>
      </c>
      <c r="L137" s="5">
        <v>6.0</v>
      </c>
    </row>
    <row r="138">
      <c r="K138" s="5">
        <v>132.0</v>
      </c>
      <c r="L138" s="5">
        <v>6.0</v>
      </c>
    </row>
    <row r="139">
      <c r="K139" s="5">
        <v>133.0</v>
      </c>
      <c r="L139" s="5">
        <v>6.0</v>
      </c>
    </row>
    <row r="140">
      <c r="K140" s="5">
        <v>134.0</v>
      </c>
      <c r="L140" s="5">
        <v>6.0</v>
      </c>
    </row>
    <row r="141">
      <c r="K141" s="5">
        <v>135.0</v>
      </c>
      <c r="L141" s="5">
        <v>6.0</v>
      </c>
    </row>
    <row r="142">
      <c r="K142" s="5">
        <v>136.0</v>
      </c>
      <c r="L142" s="5">
        <v>6.0</v>
      </c>
    </row>
    <row r="143">
      <c r="K143" s="5">
        <v>137.0</v>
      </c>
      <c r="L143" s="5">
        <v>6.0</v>
      </c>
    </row>
    <row r="144">
      <c r="K144" s="5">
        <v>138.0</v>
      </c>
      <c r="L144" s="5">
        <v>6.0</v>
      </c>
    </row>
    <row r="145">
      <c r="K145" s="5">
        <v>139.0</v>
      </c>
      <c r="L145" s="5">
        <v>6.0</v>
      </c>
    </row>
    <row r="146">
      <c r="K146" s="5">
        <v>140.0</v>
      </c>
      <c r="L146" s="5">
        <v>6.0</v>
      </c>
    </row>
    <row r="147">
      <c r="K147" s="5">
        <v>141.0</v>
      </c>
      <c r="L147" s="5">
        <v>6.0</v>
      </c>
    </row>
    <row r="148">
      <c r="K148" s="5">
        <v>142.0</v>
      </c>
      <c r="L148" s="5">
        <v>6.0</v>
      </c>
    </row>
    <row r="149">
      <c r="K149" s="5">
        <v>143.0</v>
      </c>
      <c r="L149" s="5">
        <v>6.0</v>
      </c>
    </row>
    <row r="150">
      <c r="K150" s="5">
        <v>144.0</v>
      </c>
      <c r="L150" s="5">
        <v>6.0</v>
      </c>
    </row>
    <row r="151">
      <c r="K151" s="5">
        <v>145.0</v>
      </c>
      <c r="L151" s="5">
        <v>6.0</v>
      </c>
    </row>
    <row r="152">
      <c r="K152" s="5">
        <v>146.0</v>
      </c>
      <c r="L152" s="5">
        <v>6.0</v>
      </c>
    </row>
    <row r="153">
      <c r="K153" s="5">
        <v>147.0</v>
      </c>
      <c r="L153" s="5">
        <v>6.0</v>
      </c>
    </row>
    <row r="154">
      <c r="K154" s="5">
        <v>148.0</v>
      </c>
      <c r="L154" s="5">
        <v>6.0</v>
      </c>
    </row>
    <row r="155">
      <c r="K155" s="5">
        <v>149.0</v>
      </c>
      <c r="L155" s="5">
        <v>6.0</v>
      </c>
    </row>
    <row r="156">
      <c r="K156" s="5">
        <v>150.0</v>
      </c>
      <c r="L156" s="5">
        <v>6.0</v>
      </c>
    </row>
    <row r="157">
      <c r="K157" s="5">
        <v>151.0</v>
      </c>
      <c r="L157" s="5">
        <v>6.0</v>
      </c>
    </row>
    <row r="158">
      <c r="K158" s="5">
        <v>152.0</v>
      </c>
      <c r="L158" s="5">
        <v>6.0</v>
      </c>
    </row>
    <row r="159">
      <c r="K159" s="5">
        <v>153.0</v>
      </c>
      <c r="L159" s="5">
        <v>6.0</v>
      </c>
    </row>
    <row r="160">
      <c r="K160" s="5">
        <v>154.0</v>
      </c>
      <c r="L160" s="5">
        <v>6.0</v>
      </c>
    </row>
    <row r="161">
      <c r="K161" s="5">
        <v>155.0</v>
      </c>
      <c r="L161" s="5">
        <v>6.0</v>
      </c>
    </row>
    <row r="162">
      <c r="K162" s="5">
        <v>156.0</v>
      </c>
      <c r="L162" s="5">
        <v>6.0</v>
      </c>
    </row>
    <row r="163">
      <c r="K163" s="5">
        <v>157.0</v>
      </c>
      <c r="L163" s="5">
        <v>6.0</v>
      </c>
    </row>
    <row r="164">
      <c r="K164" s="5">
        <v>158.0</v>
      </c>
      <c r="L164" s="5">
        <v>6.0</v>
      </c>
    </row>
    <row r="165">
      <c r="K165" s="5">
        <v>159.0</v>
      </c>
      <c r="L165" s="5">
        <v>6.0</v>
      </c>
    </row>
    <row r="166">
      <c r="K166" s="5">
        <v>160.0</v>
      </c>
      <c r="L166" s="5">
        <v>6.0</v>
      </c>
    </row>
    <row r="167">
      <c r="K167" s="5">
        <v>161.0</v>
      </c>
      <c r="L167" s="5">
        <v>6.0</v>
      </c>
    </row>
    <row r="168">
      <c r="K168" s="5">
        <v>162.0</v>
      </c>
      <c r="L168" s="5">
        <v>6.0</v>
      </c>
    </row>
    <row r="169">
      <c r="K169" s="5">
        <v>163.0</v>
      </c>
      <c r="L169" s="5">
        <v>6.0</v>
      </c>
    </row>
    <row r="170">
      <c r="K170" s="5">
        <v>164.0</v>
      </c>
      <c r="L170" s="5">
        <v>6.0</v>
      </c>
    </row>
    <row r="171">
      <c r="K171" s="5">
        <v>165.0</v>
      </c>
      <c r="L171" s="5">
        <v>6.0</v>
      </c>
    </row>
    <row r="172">
      <c r="K172" s="5">
        <v>166.0</v>
      </c>
      <c r="L172" s="5">
        <v>6.0</v>
      </c>
    </row>
    <row r="173">
      <c r="K173" s="5">
        <v>167.0</v>
      </c>
      <c r="L173" s="5">
        <v>6.0</v>
      </c>
    </row>
    <row r="174">
      <c r="K174" s="5">
        <v>168.0</v>
      </c>
      <c r="L174" s="5">
        <v>6.0</v>
      </c>
    </row>
    <row r="175">
      <c r="K175" s="5">
        <v>169.0</v>
      </c>
      <c r="L175" s="5">
        <v>6.0</v>
      </c>
    </row>
    <row r="176">
      <c r="K176" s="5">
        <v>170.0</v>
      </c>
      <c r="L176" s="5">
        <v>6.0</v>
      </c>
    </row>
    <row r="177">
      <c r="K177" s="5">
        <v>171.0</v>
      </c>
      <c r="L177" s="5">
        <v>6.0</v>
      </c>
    </row>
    <row r="178">
      <c r="K178" s="5">
        <v>172.0</v>
      </c>
      <c r="L178" s="5">
        <v>6.0</v>
      </c>
    </row>
    <row r="179">
      <c r="K179" s="5">
        <v>173.0</v>
      </c>
      <c r="L179" s="5">
        <v>6.0</v>
      </c>
    </row>
    <row r="180">
      <c r="K180" s="5">
        <v>174.0</v>
      </c>
      <c r="L180" s="5">
        <v>6.0</v>
      </c>
    </row>
    <row r="181">
      <c r="K181" s="5">
        <v>175.0</v>
      </c>
      <c r="L181" s="5">
        <v>6.0</v>
      </c>
    </row>
    <row r="182">
      <c r="K182" s="5">
        <v>176.0</v>
      </c>
      <c r="L182" s="5">
        <v>6.0</v>
      </c>
    </row>
    <row r="183">
      <c r="K183" s="5">
        <v>177.0</v>
      </c>
      <c r="L183" s="5">
        <v>6.0</v>
      </c>
    </row>
    <row r="184">
      <c r="K184" s="5">
        <v>178.0</v>
      </c>
      <c r="L184" s="5">
        <v>6.0</v>
      </c>
    </row>
    <row r="185">
      <c r="K185" s="5">
        <v>179.0</v>
      </c>
      <c r="L185" s="5">
        <v>6.0</v>
      </c>
    </row>
    <row r="186">
      <c r="K186" s="5">
        <v>180.0</v>
      </c>
      <c r="L186" s="5">
        <v>6.0</v>
      </c>
    </row>
    <row r="187">
      <c r="K187" s="5">
        <v>181.0</v>
      </c>
      <c r="L187" s="5">
        <v>6.0</v>
      </c>
    </row>
    <row r="188">
      <c r="K188" s="5">
        <v>182.0</v>
      </c>
      <c r="L188" s="5">
        <v>6.0</v>
      </c>
    </row>
    <row r="189">
      <c r="K189" s="5">
        <v>183.0</v>
      </c>
      <c r="L189" s="5">
        <v>6.0</v>
      </c>
    </row>
    <row r="190">
      <c r="K190" s="5">
        <v>184.0</v>
      </c>
      <c r="L190" s="5">
        <v>6.0</v>
      </c>
    </row>
    <row r="191">
      <c r="K191" s="5">
        <v>185.0</v>
      </c>
      <c r="L191" s="5">
        <v>6.0</v>
      </c>
    </row>
    <row r="192">
      <c r="K192" s="5">
        <v>186.0</v>
      </c>
      <c r="L192" s="5">
        <v>6.0</v>
      </c>
    </row>
    <row r="193">
      <c r="K193" s="5">
        <v>187.0</v>
      </c>
      <c r="L193" s="5">
        <v>6.0</v>
      </c>
    </row>
    <row r="194">
      <c r="K194" s="5">
        <v>188.0</v>
      </c>
      <c r="L194" s="5">
        <v>6.0</v>
      </c>
    </row>
    <row r="195">
      <c r="K195" s="5">
        <v>189.0</v>
      </c>
      <c r="L195" s="5">
        <v>6.0</v>
      </c>
    </row>
    <row r="196">
      <c r="K196" s="5">
        <v>190.0</v>
      </c>
      <c r="L196" s="5">
        <v>6.0</v>
      </c>
    </row>
    <row r="197">
      <c r="K197" s="5">
        <v>191.0</v>
      </c>
      <c r="L197" s="5">
        <v>6.0</v>
      </c>
    </row>
    <row r="198">
      <c r="K198" s="5">
        <v>192.0</v>
      </c>
      <c r="L198" s="5">
        <v>6.0</v>
      </c>
    </row>
    <row r="199">
      <c r="K199" s="5">
        <v>193.0</v>
      </c>
      <c r="L199" s="5">
        <v>6.0</v>
      </c>
    </row>
    <row r="200">
      <c r="K200" s="5">
        <v>194.0</v>
      </c>
      <c r="L200" s="5">
        <v>6.0</v>
      </c>
    </row>
    <row r="201">
      <c r="K201" s="5">
        <v>195.0</v>
      </c>
      <c r="L201" s="5">
        <v>6.0</v>
      </c>
    </row>
    <row r="202">
      <c r="K202" s="5">
        <v>196.0</v>
      </c>
      <c r="L202" s="5">
        <v>6.0</v>
      </c>
    </row>
    <row r="203">
      <c r="K203" s="5">
        <v>197.0</v>
      </c>
      <c r="L203" s="5">
        <v>6.0</v>
      </c>
    </row>
    <row r="204">
      <c r="K204" s="5">
        <v>198.0</v>
      </c>
      <c r="L204" s="5">
        <v>6.0</v>
      </c>
    </row>
    <row r="205">
      <c r="K205" s="5">
        <v>199.0</v>
      </c>
      <c r="L205" s="5">
        <v>6.0</v>
      </c>
    </row>
    <row r="206">
      <c r="K206" s="5">
        <v>200.0</v>
      </c>
      <c r="L206" s="5">
        <v>6.0</v>
      </c>
    </row>
    <row r="207">
      <c r="K207" s="5">
        <v>201.0</v>
      </c>
      <c r="L207" s="5">
        <v>6.0</v>
      </c>
    </row>
    <row r="208">
      <c r="K208" s="5">
        <v>202.0</v>
      </c>
      <c r="L208" s="5">
        <v>6.0</v>
      </c>
    </row>
    <row r="209">
      <c r="K209" s="5">
        <v>203.0</v>
      </c>
      <c r="L209" s="5">
        <v>6.0</v>
      </c>
    </row>
    <row r="210">
      <c r="K210" s="5">
        <v>204.0</v>
      </c>
      <c r="L210" s="5">
        <v>6.0</v>
      </c>
    </row>
    <row r="211">
      <c r="K211" s="5">
        <v>205.0</v>
      </c>
      <c r="L211" s="5">
        <v>6.0</v>
      </c>
    </row>
    <row r="212">
      <c r="K212" s="5">
        <v>206.0</v>
      </c>
      <c r="L212" s="5">
        <v>6.0</v>
      </c>
    </row>
    <row r="213">
      <c r="K213" s="5">
        <v>207.0</v>
      </c>
      <c r="L213" s="5">
        <v>6.0</v>
      </c>
    </row>
    <row r="214">
      <c r="K214" s="5">
        <v>208.0</v>
      </c>
      <c r="L214" s="5">
        <v>6.0</v>
      </c>
    </row>
    <row r="215">
      <c r="K215" s="5">
        <v>209.0</v>
      </c>
      <c r="L215" s="5">
        <v>6.0</v>
      </c>
    </row>
    <row r="216">
      <c r="K216" s="5">
        <v>210.0</v>
      </c>
      <c r="L216" s="5">
        <v>6.0</v>
      </c>
    </row>
    <row r="217">
      <c r="K217" s="5">
        <v>211.0</v>
      </c>
      <c r="L217" s="5">
        <v>6.0</v>
      </c>
    </row>
    <row r="218">
      <c r="K218" s="5">
        <v>212.0</v>
      </c>
      <c r="L218" s="5">
        <v>6.0</v>
      </c>
    </row>
    <row r="219">
      <c r="K219" s="5">
        <v>213.0</v>
      </c>
      <c r="L219" s="5">
        <v>6.0</v>
      </c>
    </row>
    <row r="220">
      <c r="K220" s="5">
        <v>214.0</v>
      </c>
      <c r="L220" s="5">
        <v>6.0</v>
      </c>
    </row>
    <row r="221">
      <c r="K221" s="5">
        <v>215.0</v>
      </c>
      <c r="L221" s="5">
        <v>6.0</v>
      </c>
    </row>
    <row r="222">
      <c r="K222" s="5">
        <v>216.0</v>
      </c>
      <c r="L222" s="5">
        <v>6.0</v>
      </c>
    </row>
    <row r="223">
      <c r="K223" s="5">
        <v>217.0</v>
      </c>
      <c r="L223" s="5">
        <v>6.0</v>
      </c>
    </row>
    <row r="224">
      <c r="K224" s="5">
        <v>218.0</v>
      </c>
      <c r="L224" s="5">
        <v>6.0</v>
      </c>
    </row>
    <row r="225">
      <c r="K225" s="5">
        <v>219.0</v>
      </c>
      <c r="L225" s="5">
        <v>6.0</v>
      </c>
    </row>
    <row r="226">
      <c r="K226" s="5">
        <v>220.0</v>
      </c>
      <c r="L226" s="5">
        <v>6.0</v>
      </c>
    </row>
    <row r="227">
      <c r="K227" s="5">
        <v>221.0</v>
      </c>
      <c r="L227" s="5">
        <v>6.0</v>
      </c>
    </row>
    <row r="228">
      <c r="K228" s="5">
        <v>222.0</v>
      </c>
      <c r="L228" s="5">
        <v>6.0</v>
      </c>
    </row>
    <row r="229">
      <c r="K229" s="5">
        <v>223.0</v>
      </c>
      <c r="L229" s="5">
        <v>6.0</v>
      </c>
    </row>
    <row r="230">
      <c r="K230" s="5">
        <v>224.0</v>
      </c>
      <c r="L230" s="5">
        <v>6.0</v>
      </c>
    </row>
    <row r="231">
      <c r="K231" s="5">
        <v>225.0</v>
      </c>
      <c r="L231" s="5">
        <v>6.0</v>
      </c>
    </row>
    <row r="232">
      <c r="K232" s="5">
        <v>226.0</v>
      </c>
      <c r="L232" s="5">
        <v>6.0</v>
      </c>
    </row>
    <row r="233">
      <c r="K233" s="5">
        <v>227.0</v>
      </c>
      <c r="L233" s="5">
        <v>6.0</v>
      </c>
    </row>
    <row r="234">
      <c r="K234" s="5">
        <v>228.0</v>
      </c>
      <c r="L234" s="5">
        <v>6.0</v>
      </c>
    </row>
    <row r="235">
      <c r="K235" s="5">
        <v>229.0</v>
      </c>
      <c r="L235" s="5">
        <v>6.0</v>
      </c>
    </row>
    <row r="236">
      <c r="K236" s="5">
        <v>230.0</v>
      </c>
      <c r="L236" s="5">
        <v>6.0</v>
      </c>
    </row>
    <row r="237">
      <c r="K237" s="5">
        <v>231.0</v>
      </c>
      <c r="L237" s="5">
        <v>6.0</v>
      </c>
    </row>
    <row r="238">
      <c r="K238" s="5">
        <v>232.0</v>
      </c>
      <c r="L238" s="5">
        <v>6.0</v>
      </c>
    </row>
    <row r="239">
      <c r="K239" s="5">
        <v>233.0</v>
      </c>
      <c r="L239" s="5">
        <v>6.0</v>
      </c>
    </row>
    <row r="240">
      <c r="K240" s="5">
        <v>234.0</v>
      </c>
      <c r="L240" s="5">
        <v>6.0</v>
      </c>
    </row>
    <row r="241">
      <c r="K241" s="5">
        <v>235.0</v>
      </c>
      <c r="L241" s="5">
        <v>6.0</v>
      </c>
    </row>
    <row r="242">
      <c r="K242" s="5">
        <v>236.0</v>
      </c>
      <c r="L242" s="5">
        <v>6.0</v>
      </c>
    </row>
    <row r="243">
      <c r="K243" s="5">
        <v>237.0</v>
      </c>
      <c r="L243" s="5">
        <v>6.0</v>
      </c>
    </row>
    <row r="244">
      <c r="K244" s="5">
        <v>238.0</v>
      </c>
      <c r="L244" s="5">
        <v>6.0</v>
      </c>
    </row>
    <row r="245">
      <c r="K245" s="5">
        <v>239.0</v>
      </c>
      <c r="L245" s="5">
        <v>6.0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4.00" customWidth="1"/>
    <col min="2" max="2" width="10.00" customWidth="1"/>
    <col min="3" max="3" width="3.00" customWidth="1"/>
    <col min="4" max="4" width="14.00" customWidth="1"/>
    <col min="5" max="5" width="16.00" customWidth="1"/>
    <col min="6" max="6" width="18.00" customWidth="1"/>
  </cols>
  <sheetData>
    <row r="1">
      <c r="A1" s="1" t="inlineStr">
        <is>
          <t xml:space="preserve">Distribution des surfaces de toit – Rural</t>
        </is>
      </c>
    </row>
    <row r="2">
      <c r="A2" s="9" t="inlineStr">
        <is>
          <t xml:space="preserve">Nombre de toits par tranche de 1 m², puis parts cumulées des toits et de la population.</t>
        </is>
      </c>
    </row>
    <row r="4">
      <c r="A4" s="3" t="inlineStr">
        <is>
          <t xml:space="preserve">Surface (m², tranche de 1 m²)</t>
        </is>
      </c>
      <c r="B4" s="3" t="inlineStr">
        <is>
          <t xml:space="preserve">Toits</t>
        </is>
      </c>
      <c r="D4" s="3" t="inlineStr">
        <is>
          <t xml:space="preserve">Jusqu'à (m²)</t>
        </is>
      </c>
      <c r="E4" s="3" t="inlineStr">
        <is>
          <t xml:space="preserve">Part cumulée des toits</t>
        </is>
      </c>
      <c r="F4" s="3" t="inlineStr">
        <is>
          <t xml:space="preserve">Part cumulée de la population</t>
        </is>
      </c>
    </row>
    <row r="5">
      <c r="A5" s="4">
        <v>0</v>
      </c>
      <c r="B5" s="4">
        <v>0</v>
      </c>
      <c r="D5" s="5">
        <v>1.0</v>
      </c>
      <c r="E5" s="7">
        <v>0.0</v>
      </c>
      <c r="F5" s="7">
        <v>0.0</v>
      </c>
    </row>
    <row r="6">
      <c r="A6" s="4">
        <v>1</v>
      </c>
      <c r="B6" s="4">
        <v>0</v>
      </c>
      <c r="D6" s="5">
        <v>2.0</v>
      </c>
      <c r="E6" s="7">
        <v>0.0</v>
      </c>
      <c r="F6" s="7">
        <v>0.0</v>
      </c>
    </row>
    <row r="7">
      <c r="A7" s="4">
        <v>2</v>
      </c>
      <c r="B7" s="4">
        <v>0</v>
      </c>
      <c r="D7" s="5">
        <v>3.0</v>
      </c>
      <c r="E7" s="7">
        <v>0.0</v>
      </c>
      <c r="F7" s="7">
        <v>0.0</v>
      </c>
    </row>
    <row r="8">
      <c r="A8" s="4">
        <v>3</v>
      </c>
      <c r="B8" s="4">
        <v>1</v>
      </c>
      <c r="D8" s="5">
        <v>4.0</v>
      </c>
      <c r="E8" s="7">
        <v>3e-05</v>
      </c>
      <c r="F8" s="7">
        <v>0.0</v>
      </c>
    </row>
    <row r="9">
      <c r="A9" s="4">
        <v>4</v>
      </c>
      <c r="B9" s="4">
        <v>4</v>
      </c>
      <c r="D9" s="5">
        <v>5.0</v>
      </c>
      <c r="E9" s="7">
        <v>0.00015</v>
      </c>
      <c r="F9" s="7">
        <v>0.0</v>
      </c>
    </row>
    <row r="10">
      <c r="A10" s="4">
        <v>5</v>
      </c>
      <c r="B10" s="4">
        <v>17</v>
      </c>
      <c r="D10" s="5">
        <v>6.0</v>
      </c>
      <c r="E10" s="7">
        <v>0.000662</v>
      </c>
      <c r="F10" s="7">
        <v>0.0</v>
      </c>
    </row>
    <row r="11">
      <c r="A11" s="4">
        <v>6</v>
      </c>
      <c r="B11" s="4">
        <v>33</v>
      </c>
      <c r="D11" s="5">
        <v>7.0</v>
      </c>
      <c r="E11" s="7">
        <v>0.001654</v>
      </c>
      <c r="F11" s="7">
        <v>0.0</v>
      </c>
    </row>
    <row r="12">
      <c r="A12" s="4">
        <v>7</v>
      </c>
      <c r="B12" s="4">
        <v>44</v>
      </c>
      <c r="D12" s="5">
        <v>8.0</v>
      </c>
      <c r="E12" s="7">
        <v>0.002978</v>
      </c>
      <c r="F12" s="7">
        <v>0.0</v>
      </c>
    </row>
    <row r="13">
      <c r="A13" s="4">
        <v>8</v>
      </c>
      <c r="B13" s="4">
        <v>75</v>
      </c>
      <c r="D13" s="5">
        <v>9.0</v>
      </c>
      <c r="E13" s="7">
        <v>0.005234</v>
      </c>
      <c r="F13" s="7">
        <v>0.0</v>
      </c>
    </row>
    <row r="14">
      <c r="A14" s="4">
        <v>9</v>
      </c>
      <c r="B14" s="4">
        <v>98</v>
      </c>
      <c r="D14" s="5">
        <v>10.0</v>
      </c>
      <c r="E14" s="7">
        <v>0.008181</v>
      </c>
      <c r="F14" s="7">
        <v>0.0</v>
      </c>
    </row>
    <row r="15">
      <c r="A15" s="4">
        <v>10</v>
      </c>
      <c r="B15" s="4">
        <v>116</v>
      </c>
      <c r="D15" s="5">
        <v>11.0</v>
      </c>
      <c r="E15" s="7">
        <v>0.011671</v>
      </c>
      <c r="F15" s="7">
        <v>0.000446</v>
      </c>
    </row>
    <row r="16">
      <c r="A16" s="4">
        <v>11</v>
      </c>
      <c r="B16" s="4">
        <v>129</v>
      </c>
      <c r="D16" s="5">
        <v>12.0</v>
      </c>
      <c r="E16" s="7">
        <v>0.015551</v>
      </c>
      <c r="F16" s="7">
        <v>0.001389</v>
      </c>
    </row>
    <row r="17">
      <c r="A17" s="4">
        <v>12</v>
      </c>
      <c r="B17" s="4">
        <v>117</v>
      </c>
      <c r="D17" s="5">
        <v>13.0</v>
      </c>
      <c r="E17" s="7">
        <v>0.01907</v>
      </c>
      <c r="F17" s="7">
        <v>0.002244</v>
      </c>
    </row>
    <row r="18">
      <c r="A18" s="4">
        <v>13</v>
      </c>
      <c r="B18" s="4">
        <v>152</v>
      </c>
      <c r="D18" s="5">
        <v>14.0</v>
      </c>
      <c r="E18" s="7">
        <v>0.023642</v>
      </c>
      <c r="F18" s="7">
        <v>0.003355</v>
      </c>
    </row>
    <row r="19">
      <c r="A19" s="4">
        <v>14</v>
      </c>
      <c r="B19" s="4">
        <v>169</v>
      </c>
      <c r="D19" s="5">
        <v>15.0</v>
      </c>
      <c r="E19" s="7">
        <v>0.028725</v>
      </c>
      <c r="F19" s="7">
        <v>0.00459</v>
      </c>
    </row>
    <row r="20">
      <c r="A20" s="4">
        <v>15</v>
      </c>
      <c r="B20" s="4">
        <v>160</v>
      </c>
      <c r="D20" s="5">
        <v>16.0</v>
      </c>
      <c r="E20" s="7">
        <v>0.033538</v>
      </c>
      <c r="F20" s="7">
        <v>0.005759</v>
      </c>
    </row>
    <row r="21">
      <c r="A21" s="4">
        <v>16</v>
      </c>
      <c r="B21" s="4">
        <v>156</v>
      </c>
      <c r="D21" s="5">
        <v>17.0</v>
      </c>
      <c r="E21" s="7">
        <v>0.03823</v>
      </c>
      <c r="F21" s="7">
        <v>0.006899</v>
      </c>
    </row>
    <row r="22">
      <c r="A22" s="4">
        <v>17</v>
      </c>
      <c r="B22" s="4">
        <v>159</v>
      </c>
      <c r="D22" s="5">
        <v>18.0</v>
      </c>
      <c r="E22" s="7">
        <v>0.043013</v>
      </c>
      <c r="F22" s="7">
        <v>0.008061</v>
      </c>
    </row>
    <row r="23">
      <c r="A23" s="4">
        <v>18</v>
      </c>
      <c r="B23" s="4">
        <v>166</v>
      </c>
      <c r="D23" s="5">
        <v>19.0</v>
      </c>
      <c r="E23" s="7">
        <v>0.048006</v>
      </c>
      <c r="F23" s="7">
        <v>0.009275</v>
      </c>
    </row>
    <row r="24">
      <c r="A24" s="4">
        <v>19</v>
      </c>
      <c r="B24" s="4">
        <v>205</v>
      </c>
      <c r="D24" s="5">
        <v>20.0</v>
      </c>
      <c r="E24" s="7">
        <v>0.054172</v>
      </c>
      <c r="F24" s="7">
        <v>0.010773</v>
      </c>
    </row>
    <row r="25">
      <c r="A25" s="4">
        <v>20</v>
      </c>
      <c r="B25" s="4">
        <v>160</v>
      </c>
      <c r="D25" s="5">
        <v>21.0</v>
      </c>
      <c r="E25" s="7">
        <v>0.058985</v>
      </c>
      <c r="F25" s="7">
        <v>0.011942</v>
      </c>
    </row>
    <row r="26">
      <c r="A26" s="4">
        <v>21</v>
      </c>
      <c r="B26" s="4">
        <v>194</v>
      </c>
      <c r="D26" s="5">
        <v>22.0</v>
      </c>
      <c r="E26" s="7">
        <v>0.06482</v>
      </c>
      <c r="F26" s="7">
        <v>0.01336</v>
      </c>
    </row>
    <row r="27">
      <c r="A27" s="4">
        <v>22</v>
      </c>
      <c r="B27" s="4">
        <v>186</v>
      </c>
      <c r="D27" s="5">
        <v>23.0</v>
      </c>
      <c r="E27" s="7">
        <v>0.070414</v>
      </c>
      <c r="F27" s="7">
        <v>0.01472</v>
      </c>
    </row>
    <row r="28">
      <c r="A28" s="4">
        <v>23</v>
      </c>
      <c r="B28" s="4">
        <v>188</v>
      </c>
      <c r="D28" s="5">
        <v>24.0</v>
      </c>
      <c r="E28" s="7">
        <v>0.076069</v>
      </c>
      <c r="F28" s="7">
        <v>0.016094</v>
      </c>
    </row>
    <row r="29">
      <c r="A29" s="4">
        <v>24</v>
      </c>
      <c r="B29" s="4">
        <v>191</v>
      </c>
      <c r="D29" s="5">
        <v>25.0</v>
      </c>
      <c r="E29" s="7">
        <v>0.081814</v>
      </c>
      <c r="F29" s="7">
        <v>0.01749</v>
      </c>
    </row>
    <row r="30">
      <c r="A30" s="4">
        <v>25</v>
      </c>
      <c r="B30" s="4">
        <v>201</v>
      </c>
      <c r="D30" s="5">
        <v>26.0</v>
      </c>
      <c r="E30" s="7">
        <v>0.08786</v>
      </c>
      <c r="F30" s="7">
        <v>0.018959</v>
      </c>
    </row>
    <row r="31">
      <c r="A31" s="4">
        <v>26</v>
      </c>
      <c r="B31" s="4">
        <v>190</v>
      </c>
      <c r="D31" s="5">
        <v>27.0</v>
      </c>
      <c r="E31" s="7">
        <v>0.093575</v>
      </c>
      <c r="F31" s="7">
        <v>0.021736</v>
      </c>
    </row>
    <row r="32">
      <c r="A32" s="4">
        <v>27</v>
      </c>
      <c r="B32" s="4">
        <v>184</v>
      </c>
      <c r="D32" s="5">
        <v>28.0</v>
      </c>
      <c r="E32" s="7">
        <v>0.09911</v>
      </c>
      <c r="F32" s="7">
        <v>0.024426</v>
      </c>
    </row>
    <row r="33">
      <c r="A33" s="4">
        <v>28</v>
      </c>
      <c r="B33" s="4">
        <v>210</v>
      </c>
      <c r="D33" s="5">
        <v>29.0</v>
      </c>
      <c r="E33" s="7">
        <v>0.105426</v>
      </c>
      <c r="F33" s="7">
        <v>0.027495</v>
      </c>
    </row>
    <row r="34">
      <c r="A34" s="4">
        <v>29</v>
      </c>
      <c r="B34" s="4">
        <v>202</v>
      </c>
      <c r="D34" s="5">
        <v>30.0</v>
      </c>
      <c r="E34" s="7">
        <v>0.111502</v>
      </c>
      <c r="F34" s="7">
        <v>0.030448</v>
      </c>
    </row>
    <row r="35">
      <c r="A35" s="4">
        <v>30</v>
      </c>
      <c r="B35" s="4">
        <v>191</v>
      </c>
      <c r="D35" s="5">
        <v>31.0</v>
      </c>
      <c r="E35" s="7">
        <v>0.117247</v>
      </c>
      <c r="F35" s="7">
        <v>0.03324</v>
      </c>
    </row>
    <row r="36">
      <c r="A36" s="4">
        <v>31</v>
      </c>
      <c r="B36" s="4">
        <v>215</v>
      </c>
      <c r="D36" s="5">
        <v>32.0</v>
      </c>
      <c r="E36" s="7">
        <v>0.123714</v>
      </c>
      <c r="F36" s="7">
        <v>0.036383</v>
      </c>
    </row>
    <row r="37">
      <c r="A37" s="4">
        <v>32</v>
      </c>
      <c r="B37" s="4">
        <v>225</v>
      </c>
      <c r="D37" s="5">
        <v>33.0</v>
      </c>
      <c r="E37" s="7">
        <v>0.130482</v>
      </c>
      <c r="F37" s="7">
        <v>0.039671</v>
      </c>
    </row>
    <row r="38">
      <c r="A38" s="4">
        <v>33</v>
      </c>
      <c r="B38" s="4">
        <v>206</v>
      </c>
      <c r="D38" s="5">
        <v>34.0</v>
      </c>
      <c r="E38" s="7">
        <v>0.136678</v>
      </c>
      <c r="F38" s="7">
        <v>0.042683</v>
      </c>
    </row>
    <row r="39">
      <c r="A39" s="4">
        <v>34</v>
      </c>
      <c r="B39" s="4">
        <v>211</v>
      </c>
      <c r="D39" s="5">
        <v>35.0</v>
      </c>
      <c r="E39" s="7">
        <v>0.143025</v>
      </c>
      <c r="F39" s="7">
        <v>0.045767</v>
      </c>
    </row>
    <row r="40">
      <c r="A40" s="4">
        <v>35</v>
      </c>
      <c r="B40" s="4">
        <v>220</v>
      </c>
      <c r="D40" s="5">
        <v>36.0</v>
      </c>
      <c r="E40" s="7">
        <v>0.149642</v>
      </c>
      <c r="F40" s="7">
        <v>0.048983</v>
      </c>
    </row>
    <row r="41">
      <c r="A41" s="4">
        <v>36</v>
      </c>
      <c r="B41" s="4">
        <v>214</v>
      </c>
      <c r="D41" s="5">
        <v>37.0</v>
      </c>
      <c r="E41" s="7">
        <v>0.156079</v>
      </c>
      <c r="F41" s="7">
        <v>0.052111</v>
      </c>
    </row>
    <row r="42">
      <c r="A42" s="4">
        <v>37</v>
      </c>
      <c r="B42" s="4">
        <v>239</v>
      </c>
      <c r="D42" s="5">
        <v>38.0</v>
      </c>
      <c r="E42" s="7">
        <v>0.163268</v>
      </c>
      <c r="F42" s="7">
        <v>0.055604</v>
      </c>
      <c r="H42" s="9" t="inlineStr">
        <is>
          <t xml:space="preserve">Plancher : 10,4 m² ; plafond : 119,7 m².</t>
        </is>
      </c>
    </row>
    <row r="43">
      <c r="A43" s="4">
        <v>38</v>
      </c>
      <c r="B43" s="4">
        <v>254</v>
      </c>
      <c r="D43" s="5">
        <v>39.0</v>
      </c>
      <c r="E43" s="7">
        <v>0.170908</v>
      </c>
      <c r="F43" s="7">
        <v>0.059317</v>
      </c>
    </row>
    <row r="44">
      <c r="A44" s="4">
        <v>39</v>
      </c>
      <c r="B44" s="4">
        <v>272</v>
      </c>
      <c r="D44" s="5">
        <v>40.0</v>
      </c>
      <c r="E44" s="7">
        <v>0.179089</v>
      </c>
      <c r="F44" s="7">
        <v>0.063293</v>
      </c>
    </row>
    <row r="45">
      <c r="A45" s="4">
        <v>40</v>
      </c>
      <c r="B45" s="4">
        <v>245</v>
      </c>
      <c r="D45" s="5">
        <v>41.0</v>
      </c>
      <c r="E45" s="7">
        <v>0.186459</v>
      </c>
      <c r="F45" s="7">
        <v>0.068665</v>
      </c>
    </row>
    <row r="46">
      <c r="A46" s="4">
        <v>41</v>
      </c>
      <c r="B46" s="4">
        <v>291</v>
      </c>
      <c r="D46" s="5">
        <v>42.0</v>
      </c>
      <c r="E46" s="7">
        <v>0.195211</v>
      </c>
      <c r="F46" s="7">
        <v>0.075045</v>
      </c>
    </row>
    <row r="47">
      <c r="A47" s="4">
        <v>42</v>
      </c>
      <c r="B47" s="4">
        <v>264</v>
      </c>
      <c r="D47" s="5">
        <v>43.0</v>
      </c>
      <c r="E47" s="7">
        <v>0.203152</v>
      </c>
      <c r="F47" s="7">
        <v>0.080834</v>
      </c>
    </row>
    <row r="48">
      <c r="A48" s="4">
        <v>43</v>
      </c>
      <c r="B48" s="4">
        <v>280</v>
      </c>
      <c r="D48" s="5">
        <v>44.0</v>
      </c>
      <c r="E48" s="7">
        <v>0.211574</v>
      </c>
      <c r="F48" s="7">
        <v>0.086973</v>
      </c>
    </row>
    <row r="49">
      <c r="A49" s="4">
        <v>44</v>
      </c>
      <c r="B49" s="4">
        <v>307</v>
      </c>
      <c r="D49" s="5">
        <v>45.0</v>
      </c>
      <c r="E49" s="7">
        <v>0.220809</v>
      </c>
      <c r="F49" s="7">
        <v>0.093704</v>
      </c>
    </row>
    <row r="50">
      <c r="A50" s="4">
        <v>45</v>
      </c>
      <c r="B50" s="4">
        <v>289</v>
      </c>
      <c r="D50" s="5">
        <v>46.0</v>
      </c>
      <c r="E50" s="7">
        <v>0.229501</v>
      </c>
      <c r="F50" s="7">
        <v>0.100041</v>
      </c>
    </row>
    <row r="51">
      <c r="A51" s="4">
        <v>46</v>
      </c>
      <c r="B51" s="4">
        <v>302</v>
      </c>
      <c r="D51" s="5">
        <v>47.0</v>
      </c>
      <c r="E51" s="7">
        <v>0.238585</v>
      </c>
      <c r="F51" s="7">
        <v>0.106663</v>
      </c>
    </row>
    <row r="52">
      <c r="A52" s="4">
        <v>47</v>
      </c>
      <c r="B52" s="4">
        <v>290</v>
      </c>
      <c r="D52" s="5">
        <v>48.0</v>
      </c>
      <c r="E52" s="7">
        <v>0.247308</v>
      </c>
      <c r="F52" s="7">
        <v>0.113021</v>
      </c>
    </row>
    <row r="53">
      <c r="A53" s="4">
        <v>48</v>
      </c>
      <c r="B53" s="4">
        <v>287</v>
      </c>
      <c r="D53" s="5">
        <v>49.0</v>
      </c>
      <c r="E53" s="7">
        <v>0.255941</v>
      </c>
      <c r="F53" s="7">
        <v>0.119314</v>
      </c>
    </row>
    <row r="54">
      <c r="A54" s="4">
        <v>49</v>
      </c>
      <c r="B54" s="4">
        <v>303</v>
      </c>
      <c r="D54" s="5">
        <v>50.0</v>
      </c>
      <c r="E54" s="7">
        <v>0.265054</v>
      </c>
      <c r="F54" s="7">
        <v>0.125957</v>
      </c>
    </row>
    <row r="55">
      <c r="A55" s="4">
        <v>50</v>
      </c>
      <c r="B55" s="4">
        <v>303</v>
      </c>
      <c r="D55" s="5">
        <v>51.0</v>
      </c>
      <c r="E55" s="7">
        <v>0.274168</v>
      </c>
      <c r="F55" s="7">
        <v>0.132601</v>
      </c>
    </row>
    <row r="56">
      <c r="A56" s="4">
        <v>51</v>
      </c>
      <c r="B56" s="4">
        <v>316</v>
      </c>
      <c r="D56" s="5">
        <v>52.0</v>
      </c>
      <c r="E56" s="7">
        <v>0.283673</v>
      </c>
      <c r="F56" s="7">
        <v>0.13953</v>
      </c>
    </row>
    <row r="57">
      <c r="A57" s="4">
        <v>52</v>
      </c>
      <c r="B57" s="4">
        <v>364</v>
      </c>
      <c r="D57" s="5">
        <v>53.0</v>
      </c>
      <c r="E57" s="7">
        <v>0.294622</v>
      </c>
      <c r="F57" s="7">
        <v>0.147511</v>
      </c>
    </row>
    <row r="58">
      <c r="A58" s="4">
        <v>53</v>
      </c>
      <c r="B58" s="4">
        <v>370</v>
      </c>
      <c r="D58" s="5">
        <v>54.0</v>
      </c>
      <c r="E58" s="7">
        <v>0.305751</v>
      </c>
      <c r="F58" s="7">
        <v>0.158327</v>
      </c>
    </row>
    <row r="59">
      <c r="A59" s="4">
        <v>54</v>
      </c>
      <c r="B59" s="4">
        <v>342</v>
      </c>
      <c r="D59" s="5">
        <v>55.0</v>
      </c>
      <c r="E59" s="7">
        <v>0.316038</v>
      </c>
      <c r="F59" s="7">
        <v>0.168326</v>
      </c>
    </row>
    <row r="60">
      <c r="A60" s="4">
        <v>55</v>
      </c>
      <c r="B60" s="4">
        <v>392</v>
      </c>
      <c r="D60" s="5">
        <v>56.0</v>
      </c>
      <c r="E60" s="7">
        <v>0.327829</v>
      </c>
      <c r="F60" s="7">
        <v>0.179786</v>
      </c>
    </row>
    <row r="61">
      <c r="A61" s="4">
        <v>56</v>
      </c>
      <c r="B61" s="4">
        <v>365</v>
      </c>
      <c r="D61" s="5">
        <v>57.0</v>
      </c>
      <c r="E61" s="7">
        <v>0.338808</v>
      </c>
      <c r="F61" s="7">
        <v>0.190456</v>
      </c>
    </row>
    <row r="62">
      <c r="A62" s="4">
        <v>57</v>
      </c>
      <c r="B62" s="4">
        <v>377</v>
      </c>
      <c r="D62" s="5">
        <v>58.0</v>
      </c>
      <c r="E62" s="7">
        <v>0.350147</v>
      </c>
      <c r="F62" s="7">
        <v>0.201478</v>
      </c>
    </row>
    <row r="63">
      <c r="A63" s="4">
        <v>58</v>
      </c>
      <c r="B63" s="4">
        <v>396</v>
      </c>
      <c r="D63" s="5">
        <v>59.0</v>
      </c>
      <c r="E63" s="7">
        <v>0.362059</v>
      </c>
      <c r="F63" s="7">
        <v>0.213055</v>
      </c>
    </row>
    <row r="64">
      <c r="A64" s="4">
        <v>59</v>
      </c>
      <c r="B64" s="4">
        <v>411</v>
      </c>
      <c r="D64" s="5">
        <v>60.0</v>
      </c>
      <c r="E64" s="7">
        <v>0.374421</v>
      </c>
      <c r="F64" s="7">
        <v>0.22507</v>
      </c>
    </row>
    <row r="65">
      <c r="A65" s="4">
        <v>60</v>
      </c>
      <c r="B65" s="4">
        <v>458</v>
      </c>
      <c r="D65" s="5">
        <v>61.0</v>
      </c>
      <c r="E65" s="7">
        <v>0.388197</v>
      </c>
      <c r="F65" s="7">
        <v>0.23846</v>
      </c>
    </row>
    <row r="66">
      <c r="A66" s="4">
        <v>61</v>
      </c>
      <c r="B66" s="4">
        <v>403</v>
      </c>
      <c r="D66" s="5">
        <v>62.0</v>
      </c>
      <c r="E66" s="7">
        <v>0.400319</v>
      </c>
      <c r="F66" s="7">
        <v>0.250241</v>
      </c>
    </row>
    <row r="67">
      <c r="A67" s="4">
        <v>62</v>
      </c>
      <c r="B67" s="4">
        <v>442</v>
      </c>
      <c r="D67" s="5">
        <v>63.0</v>
      </c>
      <c r="E67" s="7">
        <v>0.413614</v>
      </c>
      <c r="F67" s="7">
        <v>0.263163</v>
      </c>
    </row>
    <row r="68">
      <c r="A68" s="4">
        <v>63</v>
      </c>
      <c r="B68" s="4">
        <v>430</v>
      </c>
      <c r="D68" s="5">
        <v>64.0</v>
      </c>
      <c r="E68" s="7">
        <v>0.426548</v>
      </c>
      <c r="F68" s="7">
        <v>0.275734</v>
      </c>
    </row>
    <row r="69">
      <c r="A69" s="4">
        <v>64</v>
      </c>
      <c r="B69" s="4">
        <v>390</v>
      </c>
      <c r="D69" s="5">
        <v>65.0</v>
      </c>
      <c r="E69" s="7">
        <v>0.438278</v>
      </c>
      <c r="F69" s="7">
        <v>0.287135</v>
      </c>
    </row>
    <row r="70">
      <c r="A70" s="4">
        <v>65</v>
      </c>
      <c r="B70" s="4">
        <v>435</v>
      </c>
      <c r="D70" s="5">
        <v>66.0</v>
      </c>
      <c r="E70" s="7">
        <v>0.451363</v>
      </c>
      <c r="F70" s="7">
        <v>0.299852</v>
      </c>
    </row>
    <row r="71">
      <c r="A71" s="4">
        <v>66</v>
      </c>
      <c r="B71" s="4">
        <v>408</v>
      </c>
      <c r="D71" s="5">
        <v>67.0</v>
      </c>
      <c r="E71" s="7">
        <v>0.463635</v>
      </c>
      <c r="F71" s="7">
        <v>0.31178</v>
      </c>
    </row>
    <row r="72">
      <c r="A72" s="4">
        <v>67</v>
      </c>
      <c r="B72" s="4">
        <v>460</v>
      </c>
      <c r="D72" s="5">
        <v>68.0</v>
      </c>
      <c r="E72" s="7">
        <v>0.477471</v>
      </c>
      <c r="F72" s="7">
        <v>0.325228</v>
      </c>
    </row>
    <row r="73">
      <c r="A73" s="4">
        <v>68</v>
      </c>
      <c r="B73" s="4">
        <v>402</v>
      </c>
      <c r="D73" s="5">
        <v>69.0</v>
      </c>
      <c r="E73" s="7">
        <v>0.489563</v>
      </c>
      <c r="F73" s="7">
        <v>0.33698</v>
      </c>
    </row>
    <row r="74">
      <c r="A74" s="4">
        <v>69</v>
      </c>
      <c r="B74" s="4">
        <v>444</v>
      </c>
      <c r="D74" s="5">
        <v>70.0</v>
      </c>
      <c r="E74" s="7">
        <v>0.502918</v>
      </c>
      <c r="F74" s="7">
        <v>0.349961</v>
      </c>
    </row>
    <row r="75">
      <c r="A75" s="4">
        <v>70</v>
      </c>
      <c r="B75" s="4">
        <v>459</v>
      </c>
      <c r="D75" s="5">
        <v>71.0</v>
      </c>
      <c r="E75" s="7">
        <v>0.516724</v>
      </c>
      <c r="F75" s="7">
        <v>0.363379</v>
      </c>
    </row>
    <row r="76">
      <c r="A76" s="4">
        <v>71</v>
      </c>
      <c r="B76" s="4">
        <v>422</v>
      </c>
      <c r="D76" s="5">
        <v>72.0</v>
      </c>
      <c r="E76" s="7">
        <v>0.529417</v>
      </c>
      <c r="F76" s="7">
        <v>0.375716</v>
      </c>
    </row>
    <row r="77">
      <c r="A77" s="4">
        <v>72</v>
      </c>
      <c r="B77" s="4">
        <v>467</v>
      </c>
      <c r="D77" s="5">
        <v>73.0</v>
      </c>
      <c r="E77" s="7">
        <v>0.543464</v>
      </c>
      <c r="F77" s="7">
        <v>0.389369</v>
      </c>
    </row>
    <row r="78">
      <c r="A78" s="4">
        <v>73</v>
      </c>
      <c r="B78" s="4">
        <v>421</v>
      </c>
      <c r="D78" s="5">
        <v>74.0</v>
      </c>
      <c r="E78" s="7">
        <v>0.556127</v>
      </c>
      <c r="F78" s="7">
        <v>0.401677</v>
      </c>
    </row>
    <row r="79">
      <c r="A79" s="4">
        <v>74</v>
      </c>
      <c r="B79" s="4">
        <v>422</v>
      </c>
      <c r="D79" s="5">
        <v>75.0</v>
      </c>
      <c r="E79" s="7">
        <v>0.56882</v>
      </c>
      <c r="F79" s="7">
        <v>0.414014</v>
      </c>
    </row>
    <row r="80">
      <c r="A80" s="4">
        <v>75</v>
      </c>
      <c r="B80" s="4">
        <v>403</v>
      </c>
      <c r="D80" s="5">
        <v>76.0</v>
      </c>
      <c r="E80" s="7">
        <v>0.580942</v>
      </c>
      <c r="F80" s="7">
        <v>0.425795</v>
      </c>
    </row>
    <row r="81">
      <c r="A81" s="4">
        <v>76</v>
      </c>
      <c r="B81" s="4">
        <v>415</v>
      </c>
      <c r="D81" s="5">
        <v>77.0</v>
      </c>
      <c r="E81" s="7">
        <v>0.593425</v>
      </c>
      <c r="F81" s="7">
        <v>0.440961</v>
      </c>
    </row>
    <row r="82">
      <c r="A82" s="4">
        <v>77</v>
      </c>
      <c r="B82" s="4">
        <v>396</v>
      </c>
      <c r="D82" s="5">
        <v>78.0</v>
      </c>
      <c r="E82" s="7">
        <v>0.605336</v>
      </c>
      <c r="F82" s="7">
        <v>0.455432</v>
      </c>
    </row>
    <row r="83">
      <c r="A83" s="4">
        <v>78</v>
      </c>
      <c r="B83" s="4">
        <v>407</v>
      </c>
      <c r="D83" s="5">
        <v>79.0</v>
      </c>
      <c r="E83" s="7">
        <v>0.617578</v>
      </c>
      <c r="F83" s="7">
        <v>0.470305</v>
      </c>
    </row>
    <row r="84">
      <c r="A84" s="4">
        <v>79</v>
      </c>
      <c r="B84" s="4">
        <v>385</v>
      </c>
      <c r="D84" s="5">
        <v>80.0</v>
      </c>
      <c r="E84" s="7">
        <v>0.629158</v>
      </c>
      <c r="F84" s="7">
        <v>0.484374</v>
      </c>
    </row>
    <row r="85">
      <c r="A85" s="4">
        <v>80</v>
      </c>
      <c r="B85" s="4">
        <v>390</v>
      </c>
      <c r="D85" s="5">
        <v>81.0</v>
      </c>
      <c r="E85" s="7">
        <v>0.640889</v>
      </c>
      <c r="F85" s="7">
        <v>0.498626</v>
      </c>
    </row>
    <row r="86">
      <c r="A86" s="4">
        <v>81</v>
      </c>
      <c r="B86" s="4">
        <v>357</v>
      </c>
      <c r="D86" s="5">
        <v>82.0</v>
      </c>
      <c r="E86" s="7">
        <v>0.651627</v>
      </c>
      <c r="F86" s="7">
        <v>0.511672</v>
      </c>
    </row>
    <row r="87">
      <c r="A87" s="4">
        <v>82</v>
      </c>
      <c r="B87" s="4">
        <v>347</v>
      </c>
      <c r="D87" s="5">
        <v>83.0</v>
      </c>
      <c r="E87" s="7">
        <v>0.662065</v>
      </c>
      <c r="F87" s="7">
        <v>0.524352</v>
      </c>
    </row>
    <row r="88">
      <c r="A88" s="4">
        <v>83</v>
      </c>
      <c r="B88" s="4">
        <v>374</v>
      </c>
      <c r="D88" s="5">
        <v>84.0</v>
      </c>
      <c r="E88" s="7">
        <v>0.673314</v>
      </c>
      <c r="F88" s="7">
        <v>0.53802</v>
      </c>
    </row>
    <row r="89">
      <c r="A89" s="4">
        <v>84</v>
      </c>
      <c r="B89" s="4">
        <v>323</v>
      </c>
      <c r="D89" s="5">
        <v>85.0</v>
      </c>
      <c r="E89" s="7">
        <v>0.68303</v>
      </c>
      <c r="F89" s="7">
        <v>0.549823</v>
      </c>
    </row>
    <row r="90">
      <c r="A90" s="4">
        <v>85</v>
      </c>
      <c r="B90" s="4">
        <v>357</v>
      </c>
      <c r="D90" s="5">
        <v>86.0</v>
      </c>
      <c r="E90" s="7">
        <v>0.693768</v>
      </c>
      <c r="F90" s="7">
        <v>0.562869</v>
      </c>
    </row>
    <row r="91">
      <c r="A91" s="4">
        <v>86</v>
      </c>
      <c r="B91" s="4">
        <v>346</v>
      </c>
      <c r="D91" s="5">
        <v>87.0</v>
      </c>
      <c r="E91" s="7">
        <v>0.704175</v>
      </c>
      <c r="F91" s="7">
        <v>0.575513</v>
      </c>
    </row>
    <row r="92">
      <c r="A92" s="4">
        <v>87</v>
      </c>
      <c r="B92" s="4">
        <v>372</v>
      </c>
      <c r="D92" s="5">
        <v>88.0</v>
      </c>
      <c r="E92" s="7">
        <v>0.715364</v>
      </c>
      <c r="F92" s="7">
        <v>0.589107</v>
      </c>
    </row>
    <row r="93">
      <c r="A93" s="4">
        <v>88</v>
      </c>
      <c r="B93" s="4">
        <v>339</v>
      </c>
      <c r="D93" s="5">
        <v>89.0</v>
      </c>
      <c r="E93" s="7">
        <v>0.725561</v>
      </c>
      <c r="F93" s="7">
        <v>0.603973</v>
      </c>
    </row>
    <row r="94">
      <c r="A94" s="4">
        <v>89</v>
      </c>
      <c r="B94" s="4">
        <v>322</v>
      </c>
      <c r="D94" s="5">
        <v>90.0</v>
      </c>
      <c r="E94" s="7">
        <v>0.735246</v>
      </c>
      <c r="F94" s="7">
        <v>0.618093</v>
      </c>
    </row>
    <row r="95">
      <c r="A95" s="4">
        <v>90</v>
      </c>
      <c r="B95" s="4">
        <v>301</v>
      </c>
      <c r="D95" s="5">
        <v>91.0</v>
      </c>
      <c r="E95" s="7">
        <v>0.7443</v>
      </c>
      <c r="F95" s="7">
        <v>0.631293</v>
      </c>
    </row>
    <row r="96">
      <c r="A96" s="4">
        <v>91</v>
      </c>
      <c r="B96" s="4">
        <v>288</v>
      </c>
      <c r="D96" s="5">
        <v>92.0</v>
      </c>
      <c r="E96" s="7">
        <v>0.752963</v>
      </c>
      <c r="F96" s="7">
        <v>0.643922</v>
      </c>
    </row>
    <row r="97">
      <c r="A97" s="4">
        <v>92</v>
      </c>
      <c r="B97" s="4">
        <v>279</v>
      </c>
      <c r="D97" s="5">
        <v>93.0</v>
      </c>
      <c r="E97" s="7">
        <v>0.761355</v>
      </c>
      <c r="F97" s="7">
        <v>0.656157</v>
      </c>
    </row>
    <row r="98">
      <c r="A98" s="4">
        <v>93</v>
      </c>
      <c r="B98" s="4">
        <v>255</v>
      </c>
      <c r="D98" s="5">
        <v>94.0</v>
      </c>
      <c r="E98" s="7">
        <v>0.769025</v>
      </c>
      <c r="F98" s="7">
        <v>0.667339</v>
      </c>
    </row>
    <row r="99">
      <c r="A99" s="4">
        <v>94</v>
      </c>
      <c r="B99" s="4">
        <v>257</v>
      </c>
      <c r="D99" s="5">
        <v>95.0</v>
      </c>
      <c r="E99" s="7">
        <v>0.776755</v>
      </c>
      <c r="F99" s="7">
        <v>0.678609</v>
      </c>
    </row>
    <row r="100">
      <c r="A100" s="4">
        <v>95</v>
      </c>
      <c r="B100" s="4">
        <v>211</v>
      </c>
      <c r="D100" s="5">
        <v>96.0</v>
      </c>
      <c r="E100" s="7">
        <v>0.783102</v>
      </c>
      <c r="F100" s="7">
        <v>0.687862</v>
      </c>
    </row>
    <row r="101">
      <c r="A101" s="4">
        <v>96</v>
      </c>
      <c r="B101" s="4">
        <v>261</v>
      </c>
      <c r="D101" s="5">
        <v>97.0</v>
      </c>
      <c r="E101" s="7">
        <v>0.790952</v>
      </c>
      <c r="F101" s="7">
        <v>0.699307</v>
      </c>
    </row>
    <row r="102">
      <c r="A102" s="4">
        <v>97</v>
      </c>
      <c r="B102" s="4">
        <v>197</v>
      </c>
      <c r="D102" s="5">
        <v>98.0</v>
      </c>
      <c r="E102" s="7">
        <v>0.796878</v>
      </c>
      <c r="F102" s="7">
        <v>0.707946</v>
      </c>
    </row>
    <row r="103">
      <c r="A103" s="4">
        <v>98</v>
      </c>
      <c r="B103" s="4">
        <v>225</v>
      </c>
      <c r="D103" s="5">
        <v>99.0</v>
      </c>
      <c r="E103" s="7">
        <v>0.803646</v>
      </c>
      <c r="F103" s="7">
        <v>0.717813</v>
      </c>
    </row>
    <row r="104">
      <c r="A104" s="4">
        <v>99</v>
      </c>
      <c r="B104" s="4">
        <v>240</v>
      </c>
      <c r="D104" s="5">
        <v>100.0</v>
      </c>
      <c r="E104" s="7">
        <v>0.810864</v>
      </c>
      <c r="F104" s="7">
        <v>0.728337</v>
      </c>
    </row>
    <row r="105">
      <c r="A105" s="4">
        <v>100</v>
      </c>
      <c r="B105" s="4">
        <v>193</v>
      </c>
      <c r="D105" s="5">
        <v>101.0</v>
      </c>
      <c r="E105" s="7">
        <v>0.81667</v>
      </c>
      <c r="F105" s="7">
        <v>0.736801</v>
      </c>
    </row>
    <row r="106">
      <c r="A106" s="4">
        <v>101</v>
      </c>
      <c r="B106" s="4">
        <v>192</v>
      </c>
      <c r="D106" s="5">
        <v>102.0</v>
      </c>
      <c r="E106" s="7">
        <v>0.822445</v>
      </c>
      <c r="F106" s="7">
        <v>0.74522</v>
      </c>
    </row>
    <row r="107">
      <c r="A107" s="4">
        <v>102</v>
      </c>
      <c r="B107" s="4">
        <v>205</v>
      </c>
      <c r="D107" s="5">
        <v>103.0</v>
      </c>
      <c r="E107" s="7">
        <v>0.828611</v>
      </c>
      <c r="F107" s="7">
        <v>0.75421</v>
      </c>
    </row>
    <row r="108">
      <c r="A108" s="4">
        <v>103</v>
      </c>
      <c r="B108" s="4">
        <v>179</v>
      </c>
      <c r="D108" s="5">
        <v>104.0</v>
      </c>
      <c r="E108" s="7">
        <v>0.833995</v>
      </c>
      <c r="F108" s="7">
        <v>0.762059</v>
      </c>
    </row>
    <row r="109">
      <c r="A109" s="4">
        <v>104</v>
      </c>
      <c r="B109" s="4">
        <v>180</v>
      </c>
      <c r="D109" s="5">
        <v>105.0</v>
      </c>
      <c r="E109" s="7">
        <v>0.839409</v>
      </c>
      <c r="F109" s="7">
        <v>0.769953</v>
      </c>
    </row>
    <row r="110">
      <c r="A110" s="4">
        <v>105</v>
      </c>
      <c r="B110" s="4">
        <v>181</v>
      </c>
      <c r="D110" s="5">
        <v>106.0</v>
      </c>
      <c r="E110" s="7">
        <v>0.844854</v>
      </c>
      <c r="F110" s="7">
        <v>0.77789</v>
      </c>
    </row>
    <row r="111">
      <c r="A111" s="4">
        <v>106</v>
      </c>
      <c r="B111" s="4">
        <v>166</v>
      </c>
      <c r="D111" s="5">
        <v>107.0</v>
      </c>
      <c r="E111" s="7">
        <v>0.849847</v>
      </c>
      <c r="F111" s="7">
        <v>0.785169</v>
      </c>
    </row>
    <row r="112">
      <c r="A112" s="4">
        <v>107</v>
      </c>
      <c r="B112" s="4">
        <v>145</v>
      </c>
      <c r="D112" s="5">
        <v>108.0</v>
      </c>
      <c r="E112" s="7">
        <v>0.854208</v>
      </c>
      <c r="F112" s="7">
        <v>0.791528</v>
      </c>
    </row>
    <row r="113">
      <c r="A113" s="4">
        <v>108</v>
      </c>
      <c r="B113" s="4">
        <v>152</v>
      </c>
      <c r="D113" s="5">
        <v>109.0</v>
      </c>
      <c r="E113" s="7">
        <v>0.85878</v>
      </c>
      <c r="F113" s="7">
        <v>0.798193</v>
      </c>
    </row>
    <row r="114">
      <c r="A114" s="4">
        <v>109</v>
      </c>
      <c r="B114" s="4">
        <v>173</v>
      </c>
      <c r="D114" s="5">
        <v>110.0</v>
      </c>
      <c r="E114" s="7">
        <v>0.863984</v>
      </c>
      <c r="F114" s="7">
        <v>0.80578</v>
      </c>
    </row>
    <row r="115">
      <c r="A115" s="4">
        <v>110</v>
      </c>
      <c r="B115" s="4">
        <v>142</v>
      </c>
      <c r="D115" s="5">
        <v>111.0</v>
      </c>
      <c r="E115" s="7">
        <v>0.868255</v>
      </c>
      <c r="F115" s="7">
        <v>0.812007</v>
      </c>
    </row>
    <row r="116">
      <c r="A116" s="4">
        <v>111</v>
      </c>
      <c r="B116" s="4">
        <v>142</v>
      </c>
      <c r="D116" s="5">
        <v>112.0</v>
      </c>
      <c r="E116" s="7">
        <v>0.872526</v>
      </c>
      <c r="F116" s="7">
        <v>0.818234</v>
      </c>
    </row>
    <row r="117">
      <c r="A117" s="4">
        <v>112</v>
      </c>
      <c r="B117" s="4">
        <v>125</v>
      </c>
      <c r="D117" s="5">
        <v>113.0</v>
      </c>
      <c r="E117" s="7">
        <v>0.876286</v>
      </c>
      <c r="F117" s="7">
        <v>0.823715</v>
      </c>
    </row>
    <row r="118">
      <c r="A118" s="4">
        <v>113</v>
      </c>
      <c r="B118" s="4">
        <v>120</v>
      </c>
      <c r="D118" s="5">
        <v>114.0</v>
      </c>
      <c r="E118" s="7">
        <v>0.879895</v>
      </c>
      <c r="F118" s="7">
        <v>0.828977</v>
      </c>
    </row>
    <row r="119">
      <c r="A119" s="4">
        <v>114</v>
      </c>
      <c r="B119" s="4">
        <v>139</v>
      </c>
      <c r="D119" s="5">
        <v>115.0</v>
      </c>
      <c r="E119" s="7">
        <v>0.884076</v>
      </c>
      <c r="F119" s="7">
        <v>0.835073</v>
      </c>
    </row>
    <row r="120">
      <c r="A120" s="4">
        <v>115</v>
      </c>
      <c r="B120" s="4">
        <v>115</v>
      </c>
      <c r="D120" s="5">
        <v>116.0</v>
      </c>
      <c r="E120" s="7">
        <v>0.887535</v>
      </c>
      <c r="F120" s="7">
        <v>0.840116</v>
      </c>
    </row>
    <row r="121">
      <c r="A121" s="4">
        <v>116</v>
      </c>
      <c r="B121" s="4">
        <v>106</v>
      </c>
      <c r="D121" s="5">
        <v>117.0</v>
      </c>
      <c r="E121" s="7">
        <v>0.890724</v>
      </c>
      <c r="F121" s="7">
        <v>0.844764</v>
      </c>
    </row>
    <row r="122">
      <c r="A122" s="4">
        <v>117</v>
      </c>
      <c r="B122" s="4">
        <v>110</v>
      </c>
      <c r="D122" s="5">
        <v>118.0</v>
      </c>
      <c r="E122" s="7">
        <v>0.894032</v>
      </c>
      <c r="F122" s="7">
        <v>0.849588</v>
      </c>
    </row>
    <row r="123">
      <c r="A123" s="4">
        <v>118</v>
      </c>
      <c r="B123" s="4">
        <v>82</v>
      </c>
      <c r="D123" s="5">
        <v>119.0</v>
      </c>
      <c r="E123" s="7">
        <v>0.896499</v>
      </c>
      <c r="F123" s="7">
        <v>0.853184</v>
      </c>
    </row>
    <row r="124">
      <c r="A124" s="4">
        <v>119</v>
      </c>
      <c r="B124" s="4">
        <v>105</v>
      </c>
      <c r="D124" s="5">
        <v>120.0</v>
      </c>
      <c r="E124" s="7">
        <v>0.899657</v>
      </c>
      <c r="F124" s="7">
        <v>0.857788</v>
      </c>
    </row>
    <row r="125">
      <c r="A125" s="4">
        <v>120</v>
      </c>
      <c r="B125" s="4">
        <v>108</v>
      </c>
      <c r="D125" s="5">
        <v>121.0</v>
      </c>
      <c r="E125" s="7">
        <v>0.902906</v>
      </c>
      <c r="F125" s="7">
        <v>0.862524</v>
      </c>
    </row>
    <row r="126">
      <c r="A126" s="4">
        <v>121</v>
      </c>
      <c r="B126" s="4">
        <v>101</v>
      </c>
      <c r="D126" s="5">
        <v>122.0</v>
      </c>
      <c r="E126" s="7">
        <v>0.905944</v>
      </c>
      <c r="F126" s="7">
        <v>0.866953</v>
      </c>
    </row>
    <row r="127">
      <c r="A127" s="4">
        <v>122</v>
      </c>
      <c r="B127" s="4">
        <v>94</v>
      </c>
      <c r="D127" s="5">
        <v>123.0</v>
      </c>
      <c r="E127" s="7">
        <v>0.908771</v>
      </c>
      <c r="F127" s="7">
        <v>0.871075</v>
      </c>
    </row>
    <row r="128">
      <c r="A128" s="4">
        <v>123</v>
      </c>
      <c r="B128" s="4">
        <v>87</v>
      </c>
      <c r="D128" s="5">
        <v>124.0</v>
      </c>
      <c r="E128" s="7">
        <v>0.911388</v>
      </c>
      <c r="F128" s="7">
        <v>0.87489</v>
      </c>
    </row>
    <row r="129">
      <c r="A129" s="4">
        <v>124</v>
      </c>
      <c r="B129" s="4">
        <v>93</v>
      </c>
      <c r="D129" s="5">
        <v>125.0</v>
      </c>
      <c r="E129" s="7">
        <v>0.914185</v>
      </c>
      <c r="F129" s="7">
        <v>0.878969</v>
      </c>
    </row>
    <row r="130">
      <c r="A130" s="4">
        <v>125</v>
      </c>
      <c r="B130" s="4">
        <v>74</v>
      </c>
      <c r="D130" s="5">
        <v>126.0</v>
      </c>
      <c r="E130" s="7">
        <v>0.916411</v>
      </c>
      <c r="F130" s="7">
        <v>0.882214</v>
      </c>
    </row>
    <row r="131">
      <c r="A131" s="4">
        <v>126</v>
      </c>
      <c r="B131" s="4">
        <v>84</v>
      </c>
      <c r="D131" s="5">
        <v>127.0</v>
      </c>
      <c r="E131" s="7">
        <v>0.918938</v>
      </c>
      <c r="F131" s="7">
        <v>0.885897</v>
      </c>
    </row>
    <row r="132">
      <c r="A132" s="4">
        <v>127</v>
      </c>
      <c r="B132" s="4">
        <v>95</v>
      </c>
      <c r="D132" s="5">
        <v>128.0</v>
      </c>
      <c r="E132" s="7">
        <v>0.921795</v>
      </c>
      <c r="F132" s="7">
        <v>0.890063</v>
      </c>
    </row>
    <row r="133">
      <c r="A133" s="4">
        <v>128</v>
      </c>
      <c r="B133" s="4">
        <v>68</v>
      </c>
      <c r="D133" s="5">
        <v>129.0</v>
      </c>
      <c r="E133" s="7">
        <v>0.92384</v>
      </c>
      <c r="F133" s="7">
        <v>0.893045</v>
      </c>
    </row>
    <row r="134">
      <c r="A134" s="4">
        <v>129</v>
      </c>
      <c r="B134" s="4">
        <v>64</v>
      </c>
      <c r="D134" s="5">
        <v>130.0</v>
      </c>
      <c r="E134" s="7">
        <v>0.925766</v>
      </c>
      <c r="F134" s="7">
        <v>0.895852</v>
      </c>
    </row>
    <row r="135">
      <c r="A135" s="4">
        <v>130</v>
      </c>
      <c r="B135" s="4">
        <v>63</v>
      </c>
      <c r="D135" s="5">
        <v>131.0</v>
      </c>
      <c r="E135" s="7">
        <v>0.92766</v>
      </c>
      <c r="F135" s="7">
        <v>0.898614</v>
      </c>
    </row>
    <row r="136">
      <c r="A136" s="4">
        <v>131</v>
      </c>
      <c r="B136" s="4">
        <v>64</v>
      </c>
      <c r="D136" s="5">
        <v>132.0</v>
      </c>
      <c r="E136" s="7">
        <v>0.929586</v>
      </c>
      <c r="F136" s="7">
        <v>0.901421</v>
      </c>
    </row>
    <row r="137">
      <c r="A137" s="4">
        <v>132</v>
      </c>
      <c r="B137" s="4">
        <v>58</v>
      </c>
      <c r="D137" s="5">
        <v>133.0</v>
      </c>
      <c r="E137" s="7">
        <v>0.93133</v>
      </c>
      <c r="F137" s="7">
        <v>0.903964</v>
      </c>
    </row>
    <row r="138">
      <c r="A138" s="4">
        <v>133</v>
      </c>
      <c r="B138" s="4">
        <v>51</v>
      </c>
      <c r="D138" s="5">
        <v>134.0</v>
      </c>
      <c r="E138" s="7">
        <v>0.932864</v>
      </c>
      <c r="F138" s="7">
        <v>0.906201</v>
      </c>
    </row>
    <row r="139">
      <c r="A139" s="4">
        <v>134</v>
      </c>
      <c r="B139" s="4">
        <v>58</v>
      </c>
      <c r="D139" s="5">
        <v>135.0</v>
      </c>
      <c r="E139" s="7">
        <v>0.934609</v>
      </c>
      <c r="F139" s="7">
        <v>0.908744</v>
      </c>
    </row>
    <row r="140">
      <c r="A140" s="4">
        <v>135</v>
      </c>
      <c r="B140" s="4">
        <v>51</v>
      </c>
      <c r="D140" s="5">
        <v>136.0</v>
      </c>
      <c r="E140" s="7">
        <v>0.936143</v>
      </c>
      <c r="F140" s="7">
        <v>0.910981</v>
      </c>
    </row>
    <row r="141">
      <c r="A141" s="4">
        <v>136</v>
      </c>
      <c r="B141" s="4">
        <v>51</v>
      </c>
      <c r="D141" s="5">
        <v>137.0</v>
      </c>
      <c r="E141" s="7">
        <v>0.937677</v>
      </c>
      <c r="F141" s="7">
        <v>0.913217</v>
      </c>
    </row>
    <row r="142">
      <c r="A142" s="4">
        <v>137</v>
      </c>
      <c r="B142" s="4">
        <v>50</v>
      </c>
      <c r="D142" s="5">
        <v>138.0</v>
      </c>
      <c r="E142" s="7">
        <v>0.939181</v>
      </c>
      <c r="F142" s="7">
        <v>0.91541</v>
      </c>
    </row>
    <row r="143">
      <c r="A143" s="4">
        <v>138</v>
      </c>
      <c r="B143" s="4">
        <v>53</v>
      </c>
      <c r="D143" s="5">
        <v>139.0</v>
      </c>
      <c r="E143" s="7">
        <v>0.940775</v>
      </c>
      <c r="F143" s="7">
        <v>0.917734</v>
      </c>
    </row>
    <row r="144">
      <c r="A144" s="4">
        <v>139</v>
      </c>
      <c r="B144" s="4">
        <v>50</v>
      </c>
      <c r="D144" s="5">
        <v>140.0</v>
      </c>
      <c r="E144" s="7">
        <v>0.942279</v>
      </c>
      <c r="F144" s="7">
        <v>0.919926</v>
      </c>
    </row>
    <row r="145">
      <c r="A145" s="4">
        <v>140</v>
      </c>
      <c r="B145" s="4">
        <v>52</v>
      </c>
      <c r="D145" s="5">
        <v>141.0</v>
      </c>
      <c r="E145" s="7">
        <v>0.943843</v>
      </c>
      <c r="F145" s="7">
        <v>0.922207</v>
      </c>
    </row>
    <row r="146">
      <c r="A146" s="4">
        <v>141</v>
      </c>
      <c r="B146" s="4">
        <v>53</v>
      </c>
      <c r="D146" s="5">
        <v>142.0</v>
      </c>
      <c r="E146" s="7">
        <v>0.945437</v>
      </c>
      <c r="F146" s="7">
        <v>0.924531</v>
      </c>
    </row>
    <row r="147">
      <c r="A147" s="4">
        <v>142</v>
      </c>
      <c r="B147" s="4">
        <v>41</v>
      </c>
      <c r="D147" s="5">
        <v>143.0</v>
      </c>
      <c r="E147" s="7">
        <v>0.94667</v>
      </c>
      <c r="F147" s="7">
        <v>0.926329</v>
      </c>
    </row>
    <row r="148">
      <c r="A148" s="4">
        <v>143</v>
      </c>
      <c r="B148" s="4">
        <v>43</v>
      </c>
      <c r="D148" s="5">
        <v>144.0</v>
      </c>
      <c r="E148" s="7">
        <v>0.947964</v>
      </c>
      <c r="F148" s="7">
        <v>0.928214</v>
      </c>
    </row>
    <row r="149">
      <c r="A149" s="4">
        <v>144</v>
      </c>
      <c r="B149" s="4">
        <v>44</v>
      </c>
      <c r="D149" s="5">
        <v>145.0</v>
      </c>
      <c r="E149" s="7">
        <v>0.949287</v>
      </c>
      <c r="F149" s="7">
        <v>0.930144</v>
      </c>
    </row>
    <row r="150">
      <c r="A150" s="4">
        <v>145</v>
      </c>
      <c r="B150" s="4">
        <v>46</v>
      </c>
      <c r="D150" s="5">
        <v>146.0</v>
      </c>
      <c r="E150" s="7">
        <v>0.950671</v>
      </c>
      <c r="F150" s="7">
        <v>0.932161</v>
      </c>
    </row>
    <row r="151">
      <c r="A151" s="4">
        <v>146</v>
      </c>
      <c r="B151" s="4">
        <v>52</v>
      </c>
      <c r="D151" s="5">
        <v>147.0</v>
      </c>
      <c r="E151" s="7">
        <v>0.952235</v>
      </c>
      <c r="F151" s="7">
        <v>0.934441</v>
      </c>
    </row>
    <row r="152">
      <c r="A152" s="4">
        <v>147</v>
      </c>
      <c r="B152" s="4">
        <v>35</v>
      </c>
      <c r="D152" s="5">
        <v>148.0</v>
      </c>
      <c r="E152" s="7">
        <v>0.953288</v>
      </c>
      <c r="F152" s="7">
        <v>0.935976</v>
      </c>
    </row>
    <row r="153">
      <c r="A153" s="4">
        <v>148</v>
      </c>
      <c r="B153" s="4">
        <v>29</v>
      </c>
      <c r="D153" s="5">
        <v>149.0</v>
      </c>
      <c r="E153" s="7">
        <v>0.95416</v>
      </c>
      <c r="F153" s="7">
        <v>0.937248</v>
      </c>
    </row>
    <row r="154">
      <c r="A154" s="4">
        <v>149</v>
      </c>
      <c r="B154" s="4">
        <v>43</v>
      </c>
      <c r="D154" s="5">
        <v>150.0</v>
      </c>
      <c r="E154" s="7">
        <v>0.955453</v>
      </c>
      <c r="F154" s="7">
        <v>0.939133</v>
      </c>
    </row>
    <row r="155">
      <c r="A155" s="4">
        <v>150</v>
      </c>
      <c r="B155" s="4">
        <v>37</v>
      </c>
      <c r="D155" s="5">
        <v>151.0</v>
      </c>
      <c r="E155" s="7">
        <v>0.956566</v>
      </c>
      <c r="F155" s="7">
        <v>0.940756</v>
      </c>
    </row>
    <row r="156">
      <c r="A156" s="4">
        <v>151</v>
      </c>
      <c r="B156" s="4">
        <v>30</v>
      </c>
      <c r="D156" s="5">
        <v>152.0</v>
      </c>
      <c r="E156" s="7">
        <v>0.957469</v>
      </c>
      <c r="F156" s="7">
        <v>0.942072</v>
      </c>
    </row>
    <row r="157">
      <c r="A157" s="4">
        <v>152</v>
      </c>
      <c r="B157" s="4">
        <v>33</v>
      </c>
      <c r="D157" s="5">
        <v>153.0</v>
      </c>
      <c r="E157" s="7">
        <v>0.958461</v>
      </c>
      <c r="F157" s="7">
        <v>0.943519</v>
      </c>
    </row>
    <row r="158">
      <c r="A158" s="4">
        <v>153</v>
      </c>
      <c r="B158" s="4">
        <v>45</v>
      </c>
      <c r="D158" s="5">
        <v>154.0</v>
      </c>
      <c r="E158" s="7">
        <v>0.959815</v>
      </c>
      <c r="F158" s="7">
        <v>0.945492</v>
      </c>
    </row>
    <row r="159">
      <c r="A159" s="4">
        <v>154</v>
      </c>
      <c r="B159" s="4">
        <v>30</v>
      </c>
      <c r="D159" s="5">
        <v>155.0</v>
      </c>
      <c r="E159" s="7">
        <v>0.960717</v>
      </c>
      <c r="F159" s="7">
        <v>0.946808</v>
      </c>
    </row>
    <row r="160">
      <c r="A160" s="4">
        <v>155</v>
      </c>
      <c r="B160" s="4">
        <v>27</v>
      </c>
      <c r="D160" s="5">
        <v>156.0</v>
      </c>
      <c r="E160" s="7">
        <v>0.961529</v>
      </c>
      <c r="F160" s="7">
        <v>0.947992</v>
      </c>
    </row>
    <row r="161">
      <c r="A161" s="4">
        <v>156</v>
      </c>
      <c r="B161" s="4">
        <v>22</v>
      </c>
      <c r="D161" s="5">
        <v>157.0</v>
      </c>
      <c r="E161" s="7">
        <v>0.962191</v>
      </c>
      <c r="F161" s="7">
        <v>0.948956</v>
      </c>
    </row>
    <row r="162">
      <c r="A162" s="4">
        <v>157</v>
      </c>
      <c r="B162" s="4">
        <v>17</v>
      </c>
      <c r="D162" s="5">
        <v>158.0</v>
      </c>
      <c r="E162" s="7">
        <v>0.962702</v>
      </c>
      <c r="F162" s="7">
        <v>0.949702</v>
      </c>
    </row>
    <row r="163">
      <c r="A163" s="4">
        <v>158</v>
      </c>
      <c r="B163" s="4">
        <v>31</v>
      </c>
      <c r="D163" s="5">
        <v>159.0</v>
      </c>
      <c r="E163" s="7">
        <v>0.963635</v>
      </c>
      <c r="F163" s="7">
        <v>0.951061</v>
      </c>
    </row>
    <row r="164">
      <c r="A164" s="4">
        <v>159</v>
      </c>
      <c r="B164" s="4">
        <v>28</v>
      </c>
      <c r="D164" s="5">
        <v>160.0</v>
      </c>
      <c r="E164" s="7">
        <v>0.964477</v>
      </c>
      <c r="F164" s="7">
        <v>0.952289</v>
      </c>
    </row>
    <row r="165">
      <c r="A165" s="4">
        <v>160</v>
      </c>
      <c r="B165" s="4">
        <v>18</v>
      </c>
      <c r="D165" s="5">
        <v>161.0</v>
      </c>
      <c r="E165" s="7">
        <v>0.965018</v>
      </c>
      <c r="F165" s="7">
        <v>0.953078</v>
      </c>
    </row>
    <row r="166">
      <c r="A166" s="4">
        <v>161</v>
      </c>
      <c r="B166" s="4">
        <v>27</v>
      </c>
      <c r="D166" s="5">
        <v>162.0</v>
      </c>
      <c r="E166" s="7">
        <v>0.96583</v>
      </c>
      <c r="F166" s="7">
        <v>0.954262</v>
      </c>
    </row>
    <row r="167">
      <c r="A167" s="4">
        <v>162</v>
      </c>
      <c r="B167" s="4">
        <v>23</v>
      </c>
      <c r="D167" s="5">
        <v>163.0</v>
      </c>
      <c r="E167" s="7">
        <v>0.966522</v>
      </c>
      <c r="F167" s="7">
        <v>0.955271</v>
      </c>
    </row>
    <row r="168">
      <c r="A168" s="4">
        <v>163</v>
      </c>
      <c r="B168" s="4">
        <v>22</v>
      </c>
      <c r="D168" s="5">
        <v>164.0</v>
      </c>
      <c r="E168" s="7">
        <v>0.967184</v>
      </c>
      <c r="F168" s="7">
        <v>0.956236</v>
      </c>
    </row>
    <row r="169">
      <c r="A169" s="4">
        <v>164</v>
      </c>
      <c r="B169" s="4">
        <v>29</v>
      </c>
      <c r="D169" s="5">
        <v>165.0</v>
      </c>
      <c r="E169" s="7">
        <v>0.968056</v>
      </c>
      <c r="F169" s="7">
        <v>0.957507</v>
      </c>
    </row>
    <row r="170">
      <c r="A170" s="4">
        <v>165</v>
      </c>
      <c r="B170" s="4">
        <v>23</v>
      </c>
      <c r="D170" s="5">
        <v>166.0</v>
      </c>
      <c r="E170" s="7">
        <v>0.968748</v>
      </c>
      <c r="F170" s="7">
        <v>0.958516</v>
      </c>
    </row>
    <row r="171">
      <c r="A171" s="4">
        <v>166</v>
      </c>
      <c r="B171" s="4">
        <v>27</v>
      </c>
      <c r="D171" s="5">
        <v>167.0</v>
      </c>
      <c r="E171" s="7">
        <v>0.96956</v>
      </c>
      <c r="F171" s="7">
        <v>0.9597</v>
      </c>
    </row>
    <row r="172">
      <c r="A172" s="4">
        <v>167</v>
      </c>
      <c r="B172" s="4">
        <v>20</v>
      </c>
      <c r="D172" s="5">
        <v>168.0</v>
      </c>
      <c r="E172" s="7">
        <v>0.970162</v>
      </c>
      <c r="F172" s="7">
        <v>0.960577</v>
      </c>
    </row>
    <row r="173">
      <c r="A173" s="4">
        <v>168</v>
      </c>
      <c r="B173" s="4">
        <v>15</v>
      </c>
      <c r="D173" s="5">
        <v>169.0</v>
      </c>
      <c r="E173" s="7">
        <v>0.970613</v>
      </c>
      <c r="F173" s="7">
        <v>0.961235</v>
      </c>
    </row>
    <row r="174">
      <c r="A174" s="4">
        <v>169</v>
      </c>
      <c r="B174" s="4">
        <v>13</v>
      </c>
      <c r="D174" s="5">
        <v>170.0</v>
      </c>
      <c r="E174" s="7">
        <v>0.971004</v>
      </c>
      <c r="F174" s="7">
        <v>0.961805</v>
      </c>
    </row>
    <row r="175">
      <c r="A175" s="4">
        <v>170</v>
      </c>
      <c r="B175" s="4">
        <v>26</v>
      </c>
      <c r="D175" s="5">
        <v>171.0</v>
      </c>
      <c r="E175" s="7">
        <v>0.971786</v>
      </c>
      <c r="F175" s="7">
        <v>0.962945</v>
      </c>
    </row>
    <row r="176">
      <c r="A176" s="4">
        <v>171</v>
      </c>
      <c r="B176" s="4">
        <v>22</v>
      </c>
      <c r="D176" s="5">
        <v>172.0</v>
      </c>
      <c r="E176" s="7">
        <v>0.972448</v>
      </c>
      <c r="F176" s="7">
        <v>0.96391</v>
      </c>
    </row>
    <row r="177">
      <c r="A177" s="4">
        <v>172</v>
      </c>
      <c r="B177" s="4">
        <v>13</v>
      </c>
      <c r="D177" s="5">
        <v>173.0</v>
      </c>
      <c r="E177" s="7">
        <v>0.972839</v>
      </c>
      <c r="F177" s="7">
        <v>0.96448</v>
      </c>
    </row>
    <row r="178">
      <c r="A178" s="4">
        <v>173</v>
      </c>
      <c r="B178" s="4">
        <v>19</v>
      </c>
      <c r="D178" s="5">
        <v>174.0</v>
      </c>
      <c r="E178" s="7">
        <v>0.97341</v>
      </c>
      <c r="F178" s="7">
        <v>0.965313</v>
      </c>
    </row>
    <row r="179">
      <c r="A179" s="4">
        <v>174</v>
      </c>
      <c r="B179" s="4">
        <v>26</v>
      </c>
      <c r="D179" s="5">
        <v>175.0</v>
      </c>
      <c r="E179" s="7">
        <v>0.974192</v>
      </c>
      <c r="F179" s="7">
        <v>0.966453</v>
      </c>
    </row>
    <row r="180">
      <c r="A180" s="4">
        <v>175</v>
      </c>
      <c r="B180" s="4">
        <v>16</v>
      </c>
      <c r="D180" s="5">
        <v>176.0</v>
      </c>
      <c r="E180" s="7">
        <v>0.974674</v>
      </c>
      <c r="F180" s="7">
        <v>0.967155</v>
      </c>
    </row>
    <row r="181">
      <c r="A181" s="4">
        <v>176</v>
      </c>
      <c r="B181" s="4">
        <v>14</v>
      </c>
      <c r="D181" s="5">
        <v>177.0</v>
      </c>
      <c r="E181" s="7">
        <v>0.975095</v>
      </c>
      <c r="F181" s="7">
        <v>0.967769</v>
      </c>
    </row>
    <row r="182">
      <c r="A182" s="4">
        <v>177</v>
      </c>
      <c r="B182" s="4">
        <v>18</v>
      </c>
      <c r="D182" s="5">
        <v>178.0</v>
      </c>
      <c r="E182" s="7">
        <v>0.975636</v>
      </c>
      <c r="F182" s="7">
        <v>0.968558</v>
      </c>
    </row>
    <row r="183">
      <c r="A183" s="4">
        <v>178</v>
      </c>
      <c r="B183" s="4">
        <v>7</v>
      </c>
      <c r="D183" s="5">
        <v>179.0</v>
      </c>
      <c r="E183" s="7">
        <v>0.975847</v>
      </c>
      <c r="F183" s="7">
        <v>0.968865</v>
      </c>
    </row>
    <row r="184">
      <c r="A184" s="4">
        <v>179</v>
      </c>
      <c r="B184" s="4">
        <v>10</v>
      </c>
      <c r="D184" s="5">
        <v>180.0</v>
      </c>
      <c r="E184" s="7">
        <v>0.976148</v>
      </c>
      <c r="F184" s="7">
        <v>0.969304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0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9.00" customWidth="1"/>
    <col min="2" max="2" width="10.00" customWidth="1"/>
    <col min="3" max="3" width="10.00" customWidth="1"/>
    <col min="4" max="4" width="10.00" customWidth="1"/>
    <col min="5" max="5" width="15.00" customWidth="1"/>
    <col min="6" max="6" width="16.00" customWidth="1"/>
    <col min="7" max="7" width="16.00" customWidth="1"/>
    <col min="8" max="8" width="14.00" customWidth="1"/>
    <col min="11" max="11" width="15.00" customWidth="1"/>
    <col min="12" max="12" width="15.00" customWidth="1"/>
    <col min="13" max="13" width="15.00" customWidth="1"/>
    <col min="14" max="14" width="15.00" customWidth="1"/>
  </cols>
  <sheetData>
    <row r="1">
      <c r="A1" s="1" t="inlineStr">
        <is>
          <t xml:space="preserve">Classes de surface – Urbain1</t>
        </is>
      </c>
    </row>
    <row r="2">
      <c r="A2" s="9" t="inlineStr">
        <is>
          <t xml:space="preserve">12,34 m² de toit par habitant ; classes de 9,2 à 162 m² ; courbe : paliers</t>
        </is>
      </c>
    </row>
    <row r="4">
      <c r="A4" s="3" t="inlineStr">
        <is>
          <t xml:space="preserve">Classe</t>
        </is>
      </c>
      <c r="B4" s="3" t="inlineStr">
        <is>
          <t xml:space="preserve">De (m²)</t>
        </is>
      </c>
      <c r="C4" s="3" t="inlineStr">
        <is>
          <t xml:space="preserve">À (m²)</t>
        </is>
      </c>
      <c r="D4" s="3" t="inlineStr">
        <is>
          <t xml:space="preserve">Toits</t>
        </is>
      </c>
      <c r="E4" s="3" t="inlineStr">
        <is>
          <t xml:space="preserve">Surface moyenne (m²)</t>
        </is>
      </c>
      <c r="F4" s="3" t="inlineStr">
        <is>
          <t xml:space="preserve">Habitants proposés</t>
        </is>
      </c>
      <c r="G4" s="3" t="inlineStr">
        <is>
          <t xml:space="preserve">Habitants retenus</t>
        </is>
      </c>
      <c r="H4" s="3" t="inlineStr">
        <is>
          <t xml:space="preserve">Population</t>
        </is>
      </c>
      <c r="K4" s="2" t="inlineStr">
        <is>
          <t xml:space="preserve">Données des graphiques</t>
        </is>
      </c>
      <c r="L4" s="2"/>
      <c r="M4" s="2"/>
      <c r="N4" s="2"/>
    </row>
    <row r="5">
      <c r="A5" s="4">
        <v>1</v>
      </c>
      <c r="B5" s="5">
        <v>9.2</v>
      </c>
      <c r="C5" s="5">
        <v>27.0</v>
      </c>
      <c r="D5" s="4">
        <v>774.0</v>
      </c>
      <c r="E5" s="5">
        <v>18.505</v>
      </c>
      <c r="F5" s="4">
        <v>1.0</v>
      </c>
      <c r="G5" s="4">
        <v>1.0</v>
      </c>
      <c r="H5" s="4">
        <f>D5*G5</f>
      </c>
      <c r="K5" s="3" t="inlineStr">
        <is>
          <t xml:space="preserve">Surface (m²)</t>
        </is>
      </c>
      <c r="L5" s="3" t="inlineStr">
        <is>
          <t xml:space="preserve">Habitants par toit (courbe)</t>
        </is>
      </c>
      <c r="M5" s="3" t="inlineStr">
        <is>
          <t xml:space="preserve">Surface moyenne de la classe</t>
        </is>
      </c>
      <c r="N5" s="3" t="inlineStr">
        <is>
          <t xml:space="preserve">Habitants retenus (classes)</t>
        </is>
      </c>
    </row>
    <row r="6">
      <c r="A6" s="4">
        <v>2</v>
      </c>
      <c r="B6" s="5">
        <v>27.0</v>
      </c>
      <c r="C6" s="5">
        <v>44.0</v>
      </c>
      <c r="D6" s="4">
        <v>784.0</v>
      </c>
      <c r="E6" s="5">
        <v>35.669</v>
      </c>
      <c r="F6" s="4">
        <v>3.0</v>
      </c>
      <c r="G6" s="4">
        <v>3.0</v>
      </c>
      <c r="H6" s="4">
        <f>D6*G6</f>
      </c>
      <c r="K6" s="5">
        <v>0.0</v>
      </c>
      <c r="L6" s="5">
        <v>0.0</v>
      </c>
      <c r="M6" s="5">
        <v>18.505</v>
      </c>
      <c r="N6" s="4">
        <v>1.0</v>
      </c>
    </row>
    <row r="7">
      <c r="A7" s="4">
        <v>3</v>
      </c>
      <c r="B7" s="5">
        <v>44.0</v>
      </c>
      <c r="C7" s="5">
        <v>60.0</v>
      </c>
      <c r="D7" s="4">
        <v>814.0</v>
      </c>
      <c r="E7" s="5">
        <v>52.324</v>
      </c>
      <c r="F7" s="4">
        <v>4.0</v>
      </c>
      <c r="G7" s="4">
        <v>4.0</v>
      </c>
      <c r="H7" s="4">
        <f>D7*G7</f>
      </c>
      <c r="K7" s="5">
        <v>1.0</v>
      </c>
      <c r="L7" s="5">
        <v>0.0</v>
      </c>
      <c r="M7" s="5">
        <v>35.669</v>
      </c>
      <c r="N7" s="4">
        <v>3.0</v>
      </c>
    </row>
    <row r="8">
      <c r="A8" s="4">
        <v>4</v>
      </c>
      <c r="B8" s="5">
        <v>60.0</v>
      </c>
      <c r="C8" s="5">
        <v>76.0</v>
      </c>
      <c r="D8" s="4">
        <v>745.0</v>
      </c>
      <c r="E8" s="5">
        <v>68.041</v>
      </c>
      <c r="F8" s="4">
        <v>6.0</v>
      </c>
      <c r="G8" s="4">
        <v>6.0</v>
      </c>
      <c r="H8" s="4">
        <f>D8*G8</f>
      </c>
      <c r="K8" s="5">
        <v>2.0</v>
      </c>
      <c r="L8" s="5">
        <v>0.0</v>
      </c>
      <c r="M8" s="5">
        <v>52.324</v>
      </c>
      <c r="N8" s="4">
        <v>4.0</v>
      </c>
    </row>
    <row r="9">
      <c r="A9" s="4">
        <v>5</v>
      </c>
      <c r="B9" s="5">
        <v>76.0</v>
      </c>
      <c r="C9" s="5">
        <v>93.0</v>
      </c>
      <c r="D9" s="4">
        <v>645.0</v>
      </c>
      <c r="E9" s="5">
        <v>84.015</v>
      </c>
      <c r="F9" s="4">
        <v>7.0</v>
      </c>
      <c r="G9" s="4">
        <v>7.0</v>
      </c>
      <c r="H9" s="4">
        <f>D9*G9</f>
      </c>
      <c r="K9" s="5">
        <v>3.0</v>
      </c>
      <c r="L9" s="5">
        <v>0.0</v>
      </c>
      <c r="M9" s="5">
        <v>68.041</v>
      </c>
      <c r="N9" s="4">
        <v>6.0</v>
      </c>
    </row>
    <row r="10">
      <c r="A10" s="4">
        <v>6</v>
      </c>
      <c r="B10" s="5">
        <v>93.0</v>
      </c>
      <c r="C10" s="5">
        <v>112.0</v>
      </c>
      <c r="D10" s="4">
        <v>490.0</v>
      </c>
      <c r="E10" s="5">
        <v>101.569</v>
      </c>
      <c r="F10" s="4">
        <v>8.0</v>
      </c>
      <c r="G10" s="4">
        <v>8.0</v>
      </c>
      <c r="H10" s="4">
        <f>D10*G10</f>
      </c>
      <c r="K10" s="5">
        <v>4.0</v>
      </c>
      <c r="L10" s="5">
        <v>0.0</v>
      </c>
      <c r="M10" s="5">
        <v>84.015</v>
      </c>
      <c r="N10" s="4">
        <v>7.0</v>
      </c>
    </row>
    <row r="11">
      <c r="A11" s="4">
        <v>7</v>
      </c>
      <c r="B11" s="5">
        <v>112.0</v>
      </c>
      <c r="C11" s="5">
        <v>134.0</v>
      </c>
      <c r="D11" s="4">
        <v>418.0</v>
      </c>
      <c r="E11" s="5">
        <v>122.275</v>
      </c>
      <c r="F11" s="4">
        <v>10.0</v>
      </c>
      <c r="G11" s="4">
        <v>10.0</v>
      </c>
      <c r="H11" s="4">
        <f>D11*G11</f>
      </c>
      <c r="K11" s="5">
        <v>5.0</v>
      </c>
      <c r="L11" s="5">
        <v>0.0</v>
      </c>
      <c r="M11" s="5">
        <v>101.569</v>
      </c>
      <c r="N11" s="4">
        <v>8.0</v>
      </c>
    </row>
    <row r="12">
      <c r="A12" s="4">
        <v>8</v>
      </c>
      <c r="B12" s="5">
        <v>134.0</v>
      </c>
      <c r="C12" s="5">
        <v>162.0</v>
      </c>
      <c r="D12" s="4">
        <v>916.0</v>
      </c>
      <c r="E12" s="5">
        <v>146.246</v>
      </c>
      <c r="F12" s="4">
        <v>12.0</v>
      </c>
      <c r="G12" s="4">
        <v>12.0</v>
      </c>
      <c r="H12" s="4">
        <f>D12*G12</f>
      </c>
      <c r="K12" s="5">
        <v>6.0</v>
      </c>
      <c r="L12" s="5">
        <v>0.0</v>
      </c>
      <c r="M12" s="5">
        <v>122.275</v>
      </c>
      <c r="N12" s="4">
        <v>10.0</v>
      </c>
    </row>
    <row r="13">
      <c r="A13" s="14" t="inlineStr">
        <is>
          <t xml:space="preserve">Total</t>
        </is>
      </c>
      <c r="B13" s="14"/>
      <c r="C13" s="14"/>
      <c r="D13" s="14">
        <f>SUM(D5:D12)</f>
      </c>
      <c r="E13" s="14"/>
      <c r="F13" s="14"/>
      <c r="G13" s="14"/>
      <c r="H13" s="14">
        <f>SUM(H5:H12)</f>
      </c>
      <c r="K13" s="5">
        <v>7.0</v>
      </c>
      <c r="L13" s="5">
        <v>0.0</v>
      </c>
      <c r="M13" s="5">
        <v>146.246</v>
      </c>
      <c r="N13" s="4">
        <v>12.0</v>
      </c>
    </row>
    <row r="14">
      <c r="K14" s="5">
        <v>8.0</v>
      </c>
      <c r="L14" s="5">
        <v>0.0</v>
      </c>
    </row>
    <row r="15">
      <c r="A15" s="9" t="inlineStr">
        <is>
          <t xml:space="preserve">57 toits sous le plancher (9,2 m²) : sans habitants.</t>
        </is>
      </c>
      <c r="K15" s="5">
        <v>9.0</v>
      </c>
      <c r="L15" s="5">
        <v>0.0</v>
      </c>
    </row>
    <row r="16">
      <c r="A16" s="9" t="inlineStr">
        <is>
          <t xml:space="preserve">53 toits au-delà de 450 m² : écartés (bâtiments non résidentiels probables).</t>
        </is>
      </c>
      <c r="K16" s="5">
        <v>10.0</v>
      </c>
      <c r="L16" s="5">
        <v>1.0</v>
      </c>
    </row>
    <row r="17">
      <c r="A17" s="9" t="inlineStr">
        <is>
          <t xml:space="preserve">Population = toits × habitants retenus (formule Excel : modifiez un nombre d'habitants pour voir l'effet). Les toits au-dessus du plafond reçoivent la valeur de la dernière classe et ne figurent pas dans ce total.</t>
        </is>
      </c>
      <c r="K17" s="5">
        <v>11.0</v>
      </c>
      <c r="L17" s="5">
        <v>1.0</v>
      </c>
    </row>
    <row r="18">
      <c r="K18" s="5">
        <v>12.0</v>
      </c>
      <c r="L18" s="5">
        <v>1.0</v>
      </c>
    </row>
    <row r="19">
      <c r="K19" s="5">
        <v>13.0</v>
      </c>
      <c r="L19" s="5">
        <v>1.0</v>
      </c>
    </row>
    <row r="20">
      <c r="K20" s="5">
        <v>14.0</v>
      </c>
      <c r="L20" s="5">
        <v>1.0</v>
      </c>
    </row>
    <row r="21">
      <c r="K21" s="5">
        <v>15.0</v>
      </c>
      <c r="L21" s="5">
        <v>1.0</v>
      </c>
    </row>
    <row r="22">
      <c r="K22" s="5">
        <v>16.0</v>
      </c>
      <c r="L22" s="5">
        <v>1.0</v>
      </c>
    </row>
    <row r="23">
      <c r="K23" s="5">
        <v>17.0</v>
      </c>
      <c r="L23" s="5">
        <v>1.0</v>
      </c>
    </row>
    <row r="24">
      <c r="K24" s="5">
        <v>18.0</v>
      </c>
      <c r="L24" s="5">
        <v>1.0</v>
      </c>
    </row>
    <row r="25">
      <c r="K25" s="5">
        <v>19.0</v>
      </c>
      <c r="L25" s="5">
        <v>1.0</v>
      </c>
    </row>
    <row r="26">
      <c r="K26" s="5">
        <v>20.0</v>
      </c>
      <c r="L26" s="5">
        <v>1.0</v>
      </c>
    </row>
    <row r="27">
      <c r="K27" s="5">
        <v>21.0</v>
      </c>
      <c r="L27" s="5">
        <v>1.0</v>
      </c>
    </row>
    <row r="28">
      <c r="K28" s="5">
        <v>22.0</v>
      </c>
      <c r="L28" s="5">
        <v>1.0</v>
      </c>
    </row>
    <row r="29">
      <c r="K29" s="5">
        <v>23.0</v>
      </c>
      <c r="L29" s="5">
        <v>1.0</v>
      </c>
    </row>
    <row r="30">
      <c r="K30" s="5">
        <v>24.0</v>
      </c>
      <c r="L30" s="5">
        <v>1.0</v>
      </c>
    </row>
    <row r="31">
      <c r="K31" s="5">
        <v>25.0</v>
      </c>
      <c r="L31" s="5">
        <v>1.0</v>
      </c>
    </row>
    <row r="32">
      <c r="K32" s="5">
        <v>26.0</v>
      </c>
      <c r="L32" s="5">
        <v>1.0</v>
      </c>
    </row>
    <row r="33">
      <c r="K33" s="5">
        <v>27.0</v>
      </c>
      <c r="L33" s="5">
        <v>3.0</v>
      </c>
    </row>
    <row r="34">
      <c r="K34" s="5">
        <v>28.0</v>
      </c>
      <c r="L34" s="5">
        <v>3.0</v>
      </c>
    </row>
    <row r="35">
      <c r="K35" s="5">
        <v>29.0</v>
      </c>
      <c r="L35" s="5">
        <v>3.0</v>
      </c>
    </row>
    <row r="36">
      <c r="K36" s="5">
        <v>30.0</v>
      </c>
      <c r="L36" s="5">
        <v>3.0</v>
      </c>
    </row>
    <row r="37">
      <c r="K37" s="5">
        <v>31.0</v>
      </c>
      <c r="L37" s="5">
        <v>3.0</v>
      </c>
    </row>
    <row r="38">
      <c r="K38" s="5">
        <v>32.0</v>
      </c>
      <c r="L38" s="5">
        <v>3.0</v>
      </c>
    </row>
    <row r="39">
      <c r="K39" s="5">
        <v>33.0</v>
      </c>
      <c r="L39" s="5">
        <v>3.0</v>
      </c>
    </row>
    <row r="40">
      <c r="K40" s="5">
        <v>34.0</v>
      </c>
      <c r="L40" s="5">
        <v>3.0</v>
      </c>
    </row>
    <row r="41">
      <c r="K41" s="5">
        <v>35.0</v>
      </c>
      <c r="L41" s="5">
        <v>3.0</v>
      </c>
    </row>
    <row r="42">
      <c r="K42" s="5">
        <v>36.0</v>
      </c>
      <c r="L42" s="5">
        <v>3.0</v>
      </c>
    </row>
    <row r="43">
      <c r="K43" s="5">
        <v>37.0</v>
      </c>
      <c r="L43" s="5">
        <v>3.0</v>
      </c>
    </row>
    <row r="44">
      <c r="K44" s="5">
        <v>38.0</v>
      </c>
      <c r="L44" s="5">
        <v>3.0</v>
      </c>
    </row>
    <row r="45">
      <c r="K45" s="5">
        <v>39.0</v>
      </c>
      <c r="L45" s="5">
        <v>3.0</v>
      </c>
    </row>
    <row r="46">
      <c r="K46" s="5">
        <v>40.0</v>
      </c>
      <c r="L46" s="5">
        <v>3.0</v>
      </c>
    </row>
    <row r="47">
      <c r="K47" s="5">
        <v>41.0</v>
      </c>
      <c r="L47" s="5">
        <v>3.0</v>
      </c>
    </row>
    <row r="48">
      <c r="K48" s="5">
        <v>42.0</v>
      </c>
      <c r="L48" s="5">
        <v>3.0</v>
      </c>
    </row>
    <row r="49">
      <c r="K49" s="5">
        <v>43.0</v>
      </c>
      <c r="L49" s="5">
        <v>3.0</v>
      </c>
    </row>
    <row r="50">
      <c r="K50" s="5">
        <v>44.0</v>
      </c>
      <c r="L50" s="5">
        <v>4.0</v>
      </c>
    </row>
    <row r="51">
      <c r="K51" s="5">
        <v>45.0</v>
      </c>
      <c r="L51" s="5">
        <v>4.0</v>
      </c>
    </row>
    <row r="52">
      <c r="K52" s="5">
        <v>46.0</v>
      </c>
      <c r="L52" s="5">
        <v>4.0</v>
      </c>
    </row>
    <row r="53">
      <c r="K53" s="5">
        <v>47.0</v>
      </c>
      <c r="L53" s="5">
        <v>4.0</v>
      </c>
    </row>
    <row r="54">
      <c r="K54" s="5">
        <v>48.0</v>
      </c>
      <c r="L54" s="5">
        <v>4.0</v>
      </c>
    </row>
    <row r="55">
      <c r="K55" s="5">
        <v>49.0</v>
      </c>
      <c r="L55" s="5">
        <v>4.0</v>
      </c>
    </row>
    <row r="56">
      <c r="K56" s="5">
        <v>50.0</v>
      </c>
      <c r="L56" s="5">
        <v>4.0</v>
      </c>
    </row>
    <row r="57">
      <c r="K57" s="5">
        <v>51.0</v>
      </c>
      <c r="L57" s="5">
        <v>4.0</v>
      </c>
    </row>
    <row r="58">
      <c r="K58" s="5">
        <v>52.0</v>
      </c>
      <c r="L58" s="5">
        <v>4.0</v>
      </c>
    </row>
    <row r="59">
      <c r="K59" s="5">
        <v>53.0</v>
      </c>
      <c r="L59" s="5">
        <v>4.0</v>
      </c>
    </row>
    <row r="60">
      <c r="K60" s="5">
        <v>54.0</v>
      </c>
      <c r="L60" s="5">
        <v>4.0</v>
      </c>
    </row>
    <row r="61">
      <c r="K61" s="5">
        <v>55.0</v>
      </c>
      <c r="L61" s="5">
        <v>4.0</v>
      </c>
    </row>
    <row r="62">
      <c r="K62" s="5">
        <v>56.0</v>
      </c>
      <c r="L62" s="5">
        <v>4.0</v>
      </c>
    </row>
    <row r="63">
      <c r="K63" s="5">
        <v>57.0</v>
      </c>
      <c r="L63" s="5">
        <v>4.0</v>
      </c>
    </row>
    <row r="64">
      <c r="K64" s="5">
        <v>58.0</v>
      </c>
      <c r="L64" s="5">
        <v>4.0</v>
      </c>
    </row>
    <row r="65">
      <c r="K65" s="5">
        <v>59.0</v>
      </c>
      <c r="L65" s="5">
        <v>4.0</v>
      </c>
    </row>
    <row r="66">
      <c r="K66" s="5">
        <v>60.0</v>
      </c>
      <c r="L66" s="5">
        <v>6.0</v>
      </c>
    </row>
    <row r="67">
      <c r="K67" s="5">
        <v>61.0</v>
      </c>
      <c r="L67" s="5">
        <v>6.0</v>
      </c>
    </row>
    <row r="68">
      <c r="K68" s="5">
        <v>62.0</v>
      </c>
      <c r="L68" s="5">
        <v>6.0</v>
      </c>
    </row>
    <row r="69">
      <c r="K69" s="5">
        <v>63.0</v>
      </c>
      <c r="L69" s="5">
        <v>6.0</v>
      </c>
    </row>
    <row r="70">
      <c r="K70" s="5">
        <v>64.0</v>
      </c>
      <c r="L70" s="5">
        <v>6.0</v>
      </c>
    </row>
    <row r="71">
      <c r="K71" s="5">
        <v>65.0</v>
      </c>
      <c r="L71" s="5">
        <v>6.0</v>
      </c>
    </row>
    <row r="72">
      <c r="K72" s="5">
        <v>66.0</v>
      </c>
      <c r="L72" s="5">
        <v>6.0</v>
      </c>
    </row>
    <row r="73">
      <c r="K73" s="5">
        <v>67.0</v>
      </c>
      <c r="L73" s="5">
        <v>6.0</v>
      </c>
    </row>
    <row r="74">
      <c r="K74" s="5">
        <v>68.0</v>
      </c>
      <c r="L74" s="5">
        <v>6.0</v>
      </c>
    </row>
    <row r="75">
      <c r="K75" s="5">
        <v>69.0</v>
      </c>
      <c r="L75" s="5">
        <v>6.0</v>
      </c>
    </row>
    <row r="76">
      <c r="K76" s="5">
        <v>70.0</v>
      </c>
      <c r="L76" s="5">
        <v>6.0</v>
      </c>
    </row>
    <row r="77">
      <c r="K77" s="5">
        <v>71.0</v>
      </c>
      <c r="L77" s="5">
        <v>6.0</v>
      </c>
    </row>
    <row r="78">
      <c r="K78" s="5">
        <v>72.0</v>
      </c>
      <c r="L78" s="5">
        <v>6.0</v>
      </c>
    </row>
    <row r="79">
      <c r="K79" s="5">
        <v>73.0</v>
      </c>
      <c r="L79" s="5">
        <v>6.0</v>
      </c>
    </row>
    <row r="80">
      <c r="K80" s="5">
        <v>74.0</v>
      </c>
      <c r="L80" s="5">
        <v>6.0</v>
      </c>
    </row>
    <row r="81">
      <c r="K81" s="5">
        <v>75.0</v>
      </c>
      <c r="L81" s="5">
        <v>6.0</v>
      </c>
    </row>
    <row r="82">
      <c r="K82" s="5">
        <v>76.0</v>
      </c>
      <c r="L82" s="5">
        <v>7.0</v>
      </c>
    </row>
    <row r="83">
      <c r="K83" s="5">
        <v>77.0</v>
      </c>
      <c r="L83" s="5">
        <v>7.0</v>
      </c>
    </row>
    <row r="84">
      <c r="K84" s="5">
        <v>78.0</v>
      </c>
      <c r="L84" s="5">
        <v>7.0</v>
      </c>
    </row>
    <row r="85">
      <c r="K85" s="5">
        <v>79.0</v>
      </c>
      <c r="L85" s="5">
        <v>7.0</v>
      </c>
    </row>
    <row r="86">
      <c r="K86" s="5">
        <v>80.0</v>
      </c>
      <c r="L86" s="5">
        <v>7.0</v>
      </c>
    </row>
    <row r="87">
      <c r="K87" s="5">
        <v>81.0</v>
      </c>
      <c r="L87" s="5">
        <v>7.0</v>
      </c>
    </row>
    <row r="88">
      <c r="K88" s="5">
        <v>82.0</v>
      </c>
      <c r="L88" s="5">
        <v>7.0</v>
      </c>
    </row>
    <row r="89">
      <c r="K89" s="5">
        <v>83.0</v>
      </c>
      <c r="L89" s="5">
        <v>7.0</v>
      </c>
    </row>
    <row r="90">
      <c r="K90" s="5">
        <v>84.0</v>
      </c>
      <c r="L90" s="5">
        <v>7.0</v>
      </c>
    </row>
    <row r="91">
      <c r="K91" s="5">
        <v>85.0</v>
      </c>
      <c r="L91" s="5">
        <v>7.0</v>
      </c>
    </row>
    <row r="92">
      <c r="K92" s="5">
        <v>86.0</v>
      </c>
      <c r="L92" s="5">
        <v>7.0</v>
      </c>
    </row>
    <row r="93">
      <c r="K93" s="5">
        <v>87.0</v>
      </c>
      <c r="L93" s="5">
        <v>7.0</v>
      </c>
    </row>
    <row r="94">
      <c r="K94" s="5">
        <v>88.0</v>
      </c>
      <c r="L94" s="5">
        <v>7.0</v>
      </c>
    </row>
    <row r="95">
      <c r="K95" s="5">
        <v>89.0</v>
      </c>
      <c r="L95" s="5">
        <v>7.0</v>
      </c>
    </row>
    <row r="96">
      <c r="K96" s="5">
        <v>90.0</v>
      </c>
      <c r="L96" s="5">
        <v>7.0</v>
      </c>
    </row>
    <row r="97">
      <c r="K97" s="5">
        <v>91.0</v>
      </c>
      <c r="L97" s="5">
        <v>7.0</v>
      </c>
    </row>
    <row r="98">
      <c r="K98" s="5">
        <v>92.0</v>
      </c>
      <c r="L98" s="5">
        <v>7.0</v>
      </c>
    </row>
    <row r="99">
      <c r="K99" s="5">
        <v>93.0</v>
      </c>
      <c r="L99" s="5">
        <v>8.0</v>
      </c>
    </row>
    <row r="100">
      <c r="K100" s="5">
        <v>94.0</v>
      </c>
      <c r="L100" s="5">
        <v>8.0</v>
      </c>
    </row>
    <row r="101">
      <c r="K101" s="5">
        <v>95.0</v>
      </c>
      <c r="L101" s="5">
        <v>8.0</v>
      </c>
    </row>
    <row r="102">
      <c r="K102" s="5">
        <v>96.0</v>
      </c>
      <c r="L102" s="5">
        <v>8.0</v>
      </c>
    </row>
    <row r="103">
      <c r="K103" s="5">
        <v>97.0</v>
      </c>
      <c r="L103" s="5">
        <v>8.0</v>
      </c>
    </row>
    <row r="104">
      <c r="K104" s="5">
        <v>98.0</v>
      </c>
      <c r="L104" s="5">
        <v>8.0</v>
      </c>
    </row>
    <row r="105">
      <c r="K105" s="5">
        <v>99.0</v>
      </c>
      <c r="L105" s="5">
        <v>8.0</v>
      </c>
    </row>
    <row r="106">
      <c r="K106" s="5">
        <v>100.0</v>
      </c>
      <c r="L106" s="5">
        <v>8.0</v>
      </c>
    </row>
    <row r="107">
      <c r="K107" s="5">
        <v>101.0</v>
      </c>
      <c r="L107" s="5">
        <v>8.0</v>
      </c>
    </row>
    <row r="108">
      <c r="K108" s="5">
        <v>102.0</v>
      </c>
      <c r="L108" s="5">
        <v>8.0</v>
      </c>
    </row>
    <row r="109">
      <c r="K109" s="5">
        <v>103.0</v>
      </c>
      <c r="L109" s="5">
        <v>8.0</v>
      </c>
    </row>
    <row r="110">
      <c r="K110" s="5">
        <v>104.0</v>
      </c>
      <c r="L110" s="5">
        <v>8.0</v>
      </c>
    </row>
    <row r="111">
      <c r="K111" s="5">
        <v>105.0</v>
      </c>
      <c r="L111" s="5">
        <v>8.0</v>
      </c>
    </row>
    <row r="112">
      <c r="K112" s="5">
        <v>106.0</v>
      </c>
      <c r="L112" s="5">
        <v>8.0</v>
      </c>
    </row>
    <row r="113">
      <c r="K113" s="5">
        <v>107.0</v>
      </c>
      <c r="L113" s="5">
        <v>8.0</v>
      </c>
    </row>
    <row r="114">
      <c r="K114" s="5">
        <v>108.0</v>
      </c>
      <c r="L114" s="5">
        <v>8.0</v>
      </c>
    </row>
    <row r="115">
      <c r="K115" s="5">
        <v>109.0</v>
      </c>
      <c r="L115" s="5">
        <v>8.0</v>
      </c>
    </row>
    <row r="116">
      <c r="K116" s="5">
        <v>110.0</v>
      </c>
      <c r="L116" s="5">
        <v>8.0</v>
      </c>
    </row>
    <row r="117">
      <c r="K117" s="5">
        <v>111.0</v>
      </c>
      <c r="L117" s="5">
        <v>8.0</v>
      </c>
    </row>
    <row r="118">
      <c r="K118" s="5">
        <v>112.0</v>
      </c>
      <c r="L118" s="5">
        <v>10.0</v>
      </c>
    </row>
    <row r="119">
      <c r="K119" s="5">
        <v>113.0</v>
      </c>
      <c r="L119" s="5">
        <v>10.0</v>
      </c>
    </row>
    <row r="120">
      <c r="K120" s="5">
        <v>114.0</v>
      </c>
      <c r="L120" s="5">
        <v>10.0</v>
      </c>
    </row>
    <row r="121">
      <c r="K121" s="5">
        <v>115.0</v>
      </c>
      <c r="L121" s="5">
        <v>10.0</v>
      </c>
    </row>
    <row r="122">
      <c r="K122" s="5">
        <v>116.0</v>
      </c>
      <c r="L122" s="5">
        <v>10.0</v>
      </c>
    </row>
    <row r="123">
      <c r="K123" s="5">
        <v>117.0</v>
      </c>
      <c r="L123" s="5">
        <v>10.0</v>
      </c>
    </row>
    <row r="124">
      <c r="K124" s="5">
        <v>118.0</v>
      </c>
      <c r="L124" s="5">
        <v>10.0</v>
      </c>
    </row>
    <row r="125">
      <c r="K125" s="5">
        <v>119.0</v>
      </c>
      <c r="L125" s="5">
        <v>10.0</v>
      </c>
    </row>
    <row r="126">
      <c r="K126" s="5">
        <v>120.0</v>
      </c>
      <c r="L126" s="5">
        <v>10.0</v>
      </c>
    </row>
    <row r="127">
      <c r="K127" s="5">
        <v>121.0</v>
      </c>
      <c r="L127" s="5">
        <v>10.0</v>
      </c>
    </row>
    <row r="128">
      <c r="K128" s="5">
        <v>122.0</v>
      </c>
      <c r="L128" s="5">
        <v>10.0</v>
      </c>
    </row>
    <row r="129">
      <c r="K129" s="5">
        <v>123.0</v>
      </c>
      <c r="L129" s="5">
        <v>10.0</v>
      </c>
    </row>
    <row r="130">
      <c r="K130" s="5">
        <v>124.0</v>
      </c>
      <c r="L130" s="5">
        <v>10.0</v>
      </c>
    </row>
    <row r="131">
      <c r="K131" s="5">
        <v>125.0</v>
      </c>
      <c r="L131" s="5">
        <v>10.0</v>
      </c>
    </row>
    <row r="132">
      <c r="K132" s="5">
        <v>126.0</v>
      </c>
      <c r="L132" s="5">
        <v>10.0</v>
      </c>
    </row>
    <row r="133">
      <c r="K133" s="5">
        <v>127.0</v>
      </c>
      <c r="L133" s="5">
        <v>10.0</v>
      </c>
    </row>
    <row r="134">
      <c r="K134" s="5">
        <v>128.0</v>
      </c>
      <c r="L134" s="5">
        <v>10.0</v>
      </c>
    </row>
    <row r="135">
      <c r="K135" s="5">
        <v>129.0</v>
      </c>
      <c r="L135" s="5">
        <v>10.0</v>
      </c>
    </row>
    <row r="136">
      <c r="K136" s="5">
        <v>130.0</v>
      </c>
      <c r="L136" s="5">
        <v>10.0</v>
      </c>
    </row>
    <row r="137">
      <c r="K137" s="5">
        <v>131.0</v>
      </c>
      <c r="L137" s="5">
        <v>10.0</v>
      </c>
    </row>
    <row r="138">
      <c r="K138" s="5">
        <v>132.0</v>
      </c>
      <c r="L138" s="5">
        <v>10.0</v>
      </c>
    </row>
    <row r="139">
      <c r="K139" s="5">
        <v>133.0</v>
      </c>
      <c r="L139" s="5">
        <v>10.0</v>
      </c>
    </row>
    <row r="140">
      <c r="K140" s="5">
        <v>134.0</v>
      </c>
      <c r="L140" s="5">
        <v>12.0</v>
      </c>
    </row>
    <row r="141">
      <c r="K141" s="5">
        <v>135.0</v>
      </c>
      <c r="L141" s="5">
        <v>12.0</v>
      </c>
    </row>
    <row r="142">
      <c r="K142" s="5">
        <v>136.0</v>
      </c>
      <c r="L142" s="5">
        <v>12.0</v>
      </c>
    </row>
    <row r="143">
      <c r="K143" s="5">
        <v>137.0</v>
      </c>
      <c r="L143" s="5">
        <v>12.0</v>
      </c>
    </row>
    <row r="144">
      <c r="K144" s="5">
        <v>138.0</v>
      </c>
      <c r="L144" s="5">
        <v>12.0</v>
      </c>
    </row>
    <row r="145">
      <c r="K145" s="5">
        <v>139.0</v>
      </c>
      <c r="L145" s="5">
        <v>12.0</v>
      </c>
    </row>
    <row r="146">
      <c r="K146" s="5">
        <v>140.0</v>
      </c>
      <c r="L146" s="5">
        <v>12.0</v>
      </c>
    </row>
    <row r="147">
      <c r="K147" s="5">
        <v>141.0</v>
      </c>
      <c r="L147" s="5">
        <v>12.0</v>
      </c>
    </row>
    <row r="148">
      <c r="K148" s="5">
        <v>142.0</v>
      </c>
      <c r="L148" s="5">
        <v>12.0</v>
      </c>
    </row>
    <row r="149">
      <c r="K149" s="5">
        <v>143.0</v>
      </c>
      <c r="L149" s="5">
        <v>12.0</v>
      </c>
    </row>
    <row r="150">
      <c r="K150" s="5">
        <v>144.0</v>
      </c>
      <c r="L150" s="5">
        <v>12.0</v>
      </c>
    </row>
    <row r="151">
      <c r="K151" s="5">
        <v>145.0</v>
      </c>
      <c r="L151" s="5">
        <v>12.0</v>
      </c>
    </row>
    <row r="152">
      <c r="K152" s="5">
        <v>146.0</v>
      </c>
      <c r="L152" s="5">
        <v>12.0</v>
      </c>
    </row>
    <row r="153">
      <c r="K153" s="5">
        <v>147.0</v>
      </c>
      <c r="L153" s="5">
        <v>12.0</v>
      </c>
    </row>
    <row r="154">
      <c r="K154" s="5">
        <v>148.0</v>
      </c>
      <c r="L154" s="5">
        <v>12.0</v>
      </c>
    </row>
    <row r="155">
      <c r="K155" s="5">
        <v>149.0</v>
      </c>
      <c r="L155" s="5">
        <v>12.0</v>
      </c>
    </row>
    <row r="156">
      <c r="K156" s="5">
        <v>150.0</v>
      </c>
      <c r="L156" s="5">
        <v>12.0</v>
      </c>
    </row>
    <row r="157">
      <c r="K157" s="5">
        <v>151.0</v>
      </c>
      <c r="L157" s="5">
        <v>12.0</v>
      </c>
    </row>
    <row r="158">
      <c r="K158" s="5">
        <v>152.0</v>
      </c>
      <c r="L158" s="5">
        <v>12.0</v>
      </c>
    </row>
    <row r="159">
      <c r="K159" s="5">
        <v>153.0</v>
      </c>
      <c r="L159" s="5">
        <v>12.0</v>
      </c>
    </row>
    <row r="160">
      <c r="K160" s="5">
        <v>154.0</v>
      </c>
      <c r="L160" s="5">
        <v>12.0</v>
      </c>
    </row>
    <row r="161">
      <c r="K161" s="5">
        <v>155.0</v>
      </c>
      <c r="L161" s="5">
        <v>12.0</v>
      </c>
    </row>
    <row r="162">
      <c r="K162" s="5">
        <v>156.0</v>
      </c>
      <c r="L162" s="5">
        <v>12.0</v>
      </c>
    </row>
    <row r="163">
      <c r="K163" s="5">
        <v>157.0</v>
      </c>
      <c r="L163" s="5">
        <v>12.0</v>
      </c>
    </row>
    <row r="164">
      <c r="K164" s="5">
        <v>158.0</v>
      </c>
      <c r="L164" s="5">
        <v>12.0</v>
      </c>
    </row>
    <row r="165">
      <c r="K165" s="5">
        <v>159.0</v>
      </c>
      <c r="L165" s="5">
        <v>12.0</v>
      </c>
    </row>
    <row r="166">
      <c r="K166" s="5">
        <v>160.0</v>
      </c>
      <c r="L166" s="5">
        <v>12.0</v>
      </c>
    </row>
    <row r="167">
      <c r="K167" s="5">
        <v>161.0</v>
      </c>
      <c r="L167" s="5">
        <v>12.0</v>
      </c>
    </row>
    <row r="168">
      <c r="K168" s="5">
        <v>162.0</v>
      </c>
      <c r="L168" s="5">
        <v>12.0</v>
      </c>
    </row>
    <row r="169">
      <c r="K169" s="5">
        <v>163.0</v>
      </c>
      <c r="L169" s="5">
        <v>12.0</v>
      </c>
    </row>
    <row r="170">
      <c r="K170" s="5">
        <v>164.0</v>
      </c>
      <c r="L170" s="5">
        <v>12.0</v>
      </c>
    </row>
    <row r="171">
      <c r="K171" s="5">
        <v>165.0</v>
      </c>
      <c r="L171" s="5">
        <v>12.0</v>
      </c>
    </row>
    <row r="172">
      <c r="K172" s="5">
        <v>166.0</v>
      </c>
      <c r="L172" s="5">
        <v>12.0</v>
      </c>
    </row>
    <row r="173">
      <c r="K173" s="5">
        <v>167.0</v>
      </c>
      <c r="L173" s="5">
        <v>12.0</v>
      </c>
    </row>
    <row r="174">
      <c r="K174" s="5">
        <v>168.0</v>
      </c>
      <c r="L174" s="5">
        <v>12.0</v>
      </c>
    </row>
    <row r="175">
      <c r="K175" s="5">
        <v>169.0</v>
      </c>
      <c r="L175" s="5">
        <v>12.0</v>
      </c>
    </row>
    <row r="176">
      <c r="K176" s="5">
        <v>170.0</v>
      </c>
      <c r="L176" s="5">
        <v>12.0</v>
      </c>
    </row>
    <row r="177">
      <c r="K177" s="5">
        <v>171.0</v>
      </c>
      <c r="L177" s="5">
        <v>12.0</v>
      </c>
    </row>
    <row r="178">
      <c r="K178" s="5">
        <v>172.0</v>
      </c>
      <c r="L178" s="5">
        <v>12.0</v>
      </c>
    </row>
    <row r="179">
      <c r="K179" s="5">
        <v>173.0</v>
      </c>
      <c r="L179" s="5">
        <v>12.0</v>
      </c>
    </row>
    <row r="180">
      <c r="K180" s="5">
        <v>174.0</v>
      </c>
      <c r="L180" s="5">
        <v>12.0</v>
      </c>
    </row>
    <row r="181">
      <c r="K181" s="5">
        <v>175.0</v>
      </c>
      <c r="L181" s="5">
        <v>12.0</v>
      </c>
    </row>
    <row r="182">
      <c r="K182" s="5">
        <v>176.0</v>
      </c>
      <c r="L182" s="5">
        <v>12.0</v>
      </c>
    </row>
    <row r="183">
      <c r="K183" s="5">
        <v>177.0</v>
      </c>
      <c r="L183" s="5">
        <v>12.0</v>
      </c>
    </row>
    <row r="184">
      <c r="K184" s="5">
        <v>178.0</v>
      </c>
      <c r="L184" s="5">
        <v>12.0</v>
      </c>
    </row>
    <row r="185">
      <c r="K185" s="5">
        <v>179.0</v>
      </c>
      <c r="L185" s="5">
        <v>12.0</v>
      </c>
    </row>
    <row r="186">
      <c r="K186" s="5">
        <v>180.0</v>
      </c>
      <c r="L186" s="5">
        <v>12.0</v>
      </c>
    </row>
    <row r="187">
      <c r="K187" s="5">
        <v>181.0</v>
      </c>
      <c r="L187" s="5">
        <v>12.0</v>
      </c>
    </row>
    <row r="188">
      <c r="K188" s="5">
        <v>182.0</v>
      </c>
      <c r="L188" s="5">
        <v>12.0</v>
      </c>
    </row>
    <row r="189">
      <c r="K189" s="5">
        <v>183.0</v>
      </c>
      <c r="L189" s="5">
        <v>12.0</v>
      </c>
    </row>
    <row r="190">
      <c r="K190" s="5">
        <v>184.0</v>
      </c>
      <c r="L190" s="5">
        <v>12.0</v>
      </c>
    </row>
    <row r="191">
      <c r="K191" s="5">
        <v>185.0</v>
      </c>
      <c r="L191" s="5">
        <v>12.0</v>
      </c>
    </row>
    <row r="192">
      <c r="K192" s="5">
        <v>186.0</v>
      </c>
      <c r="L192" s="5">
        <v>12.0</v>
      </c>
    </row>
    <row r="193">
      <c r="K193" s="5">
        <v>187.0</v>
      </c>
      <c r="L193" s="5">
        <v>12.0</v>
      </c>
    </row>
    <row r="194">
      <c r="K194" s="5">
        <v>188.0</v>
      </c>
      <c r="L194" s="5">
        <v>12.0</v>
      </c>
    </row>
    <row r="195">
      <c r="K195" s="5">
        <v>189.0</v>
      </c>
      <c r="L195" s="5">
        <v>12.0</v>
      </c>
    </row>
    <row r="196">
      <c r="K196" s="5">
        <v>190.0</v>
      </c>
      <c r="L196" s="5">
        <v>12.0</v>
      </c>
    </row>
    <row r="197">
      <c r="K197" s="5">
        <v>191.0</v>
      </c>
      <c r="L197" s="5">
        <v>12.0</v>
      </c>
    </row>
    <row r="198">
      <c r="K198" s="5">
        <v>192.0</v>
      </c>
      <c r="L198" s="5">
        <v>12.0</v>
      </c>
    </row>
    <row r="199">
      <c r="K199" s="5">
        <v>193.0</v>
      </c>
      <c r="L199" s="5">
        <v>12.0</v>
      </c>
    </row>
    <row r="200">
      <c r="K200" s="5">
        <v>194.0</v>
      </c>
      <c r="L200" s="5">
        <v>12.0</v>
      </c>
    </row>
    <row r="201">
      <c r="K201" s="5">
        <v>195.0</v>
      </c>
      <c r="L201" s="5">
        <v>12.0</v>
      </c>
    </row>
    <row r="202">
      <c r="K202" s="5">
        <v>196.0</v>
      </c>
      <c r="L202" s="5">
        <v>12.0</v>
      </c>
    </row>
    <row r="203">
      <c r="K203" s="5">
        <v>197.0</v>
      </c>
      <c r="L203" s="5">
        <v>12.0</v>
      </c>
    </row>
    <row r="204">
      <c r="K204" s="5">
        <v>198.0</v>
      </c>
      <c r="L204" s="5">
        <v>12.0</v>
      </c>
    </row>
    <row r="205">
      <c r="K205" s="5">
        <v>199.0</v>
      </c>
      <c r="L205" s="5">
        <v>12.0</v>
      </c>
    </row>
    <row r="206">
      <c r="K206" s="5">
        <v>200.0</v>
      </c>
      <c r="L206" s="5">
        <v>12.0</v>
      </c>
    </row>
    <row r="207">
      <c r="K207" s="5">
        <v>201.0</v>
      </c>
      <c r="L207" s="5">
        <v>12.0</v>
      </c>
    </row>
    <row r="208">
      <c r="K208" s="5">
        <v>202.0</v>
      </c>
      <c r="L208" s="5">
        <v>12.0</v>
      </c>
    </row>
    <row r="209">
      <c r="K209" s="5">
        <v>203.0</v>
      </c>
      <c r="L209" s="5">
        <v>12.0</v>
      </c>
    </row>
    <row r="210">
      <c r="K210" s="5">
        <v>204.0</v>
      </c>
      <c r="L210" s="5">
        <v>12.0</v>
      </c>
    </row>
    <row r="211">
      <c r="K211" s="5">
        <v>205.0</v>
      </c>
      <c r="L211" s="5">
        <v>12.0</v>
      </c>
    </row>
    <row r="212">
      <c r="K212" s="5">
        <v>206.0</v>
      </c>
      <c r="L212" s="5">
        <v>12.0</v>
      </c>
    </row>
    <row r="213">
      <c r="K213" s="5">
        <v>207.0</v>
      </c>
      <c r="L213" s="5">
        <v>12.0</v>
      </c>
    </row>
    <row r="214">
      <c r="K214" s="5">
        <v>208.0</v>
      </c>
      <c r="L214" s="5">
        <v>12.0</v>
      </c>
    </row>
    <row r="215">
      <c r="K215" s="5">
        <v>209.0</v>
      </c>
      <c r="L215" s="5">
        <v>12.0</v>
      </c>
    </row>
    <row r="216">
      <c r="K216" s="5">
        <v>210.0</v>
      </c>
      <c r="L216" s="5">
        <v>12.0</v>
      </c>
    </row>
    <row r="217">
      <c r="K217" s="5">
        <v>211.0</v>
      </c>
      <c r="L217" s="5">
        <v>12.0</v>
      </c>
    </row>
    <row r="218">
      <c r="K218" s="5">
        <v>212.0</v>
      </c>
      <c r="L218" s="5">
        <v>12.0</v>
      </c>
    </row>
    <row r="219">
      <c r="K219" s="5">
        <v>213.0</v>
      </c>
      <c r="L219" s="5">
        <v>12.0</v>
      </c>
    </row>
    <row r="220">
      <c r="K220" s="5">
        <v>214.0</v>
      </c>
      <c r="L220" s="5">
        <v>12.0</v>
      </c>
    </row>
    <row r="221">
      <c r="K221" s="5">
        <v>215.0</v>
      </c>
      <c r="L221" s="5">
        <v>12.0</v>
      </c>
    </row>
    <row r="222">
      <c r="K222" s="5">
        <v>216.0</v>
      </c>
      <c r="L222" s="5">
        <v>12.0</v>
      </c>
    </row>
    <row r="223">
      <c r="K223" s="5">
        <v>217.0</v>
      </c>
      <c r="L223" s="5">
        <v>12.0</v>
      </c>
    </row>
    <row r="224">
      <c r="K224" s="5">
        <v>218.0</v>
      </c>
      <c r="L224" s="5">
        <v>12.0</v>
      </c>
    </row>
    <row r="225">
      <c r="K225" s="5">
        <v>219.0</v>
      </c>
      <c r="L225" s="5">
        <v>12.0</v>
      </c>
    </row>
    <row r="226">
      <c r="K226" s="5">
        <v>220.0</v>
      </c>
      <c r="L226" s="5">
        <v>12.0</v>
      </c>
    </row>
    <row r="227">
      <c r="K227" s="5">
        <v>221.0</v>
      </c>
      <c r="L227" s="5">
        <v>12.0</v>
      </c>
    </row>
    <row r="228">
      <c r="K228" s="5">
        <v>222.0</v>
      </c>
      <c r="L228" s="5">
        <v>12.0</v>
      </c>
    </row>
    <row r="229">
      <c r="K229" s="5">
        <v>223.0</v>
      </c>
      <c r="L229" s="5">
        <v>12.0</v>
      </c>
    </row>
    <row r="230">
      <c r="K230" s="5">
        <v>224.0</v>
      </c>
      <c r="L230" s="5">
        <v>12.0</v>
      </c>
    </row>
    <row r="231">
      <c r="K231" s="5">
        <v>225.0</v>
      </c>
      <c r="L231" s="5">
        <v>12.0</v>
      </c>
    </row>
    <row r="232">
      <c r="K232" s="5">
        <v>226.0</v>
      </c>
      <c r="L232" s="5">
        <v>12.0</v>
      </c>
    </row>
    <row r="233">
      <c r="K233" s="5">
        <v>227.0</v>
      </c>
      <c r="L233" s="5">
        <v>12.0</v>
      </c>
    </row>
    <row r="234">
      <c r="K234" s="5">
        <v>228.0</v>
      </c>
      <c r="L234" s="5">
        <v>12.0</v>
      </c>
    </row>
    <row r="235">
      <c r="K235" s="5">
        <v>229.0</v>
      </c>
      <c r="L235" s="5">
        <v>12.0</v>
      </c>
    </row>
    <row r="236">
      <c r="K236" s="5">
        <v>230.0</v>
      </c>
      <c r="L236" s="5">
        <v>12.0</v>
      </c>
    </row>
    <row r="237">
      <c r="K237" s="5">
        <v>231.0</v>
      </c>
      <c r="L237" s="5">
        <v>12.0</v>
      </c>
    </row>
    <row r="238">
      <c r="K238" s="5">
        <v>232.0</v>
      </c>
      <c r="L238" s="5">
        <v>12.0</v>
      </c>
    </row>
    <row r="239">
      <c r="K239" s="5">
        <v>233.0</v>
      </c>
      <c r="L239" s="5">
        <v>12.0</v>
      </c>
    </row>
    <row r="240">
      <c r="K240" s="5">
        <v>234.0</v>
      </c>
      <c r="L240" s="5">
        <v>12.0</v>
      </c>
    </row>
    <row r="241">
      <c r="K241" s="5">
        <v>235.0</v>
      </c>
      <c r="L241" s="5">
        <v>12.0</v>
      </c>
    </row>
    <row r="242">
      <c r="K242" s="5">
        <v>236.0</v>
      </c>
      <c r="L242" s="5">
        <v>12.0</v>
      </c>
    </row>
    <row r="243">
      <c r="K243" s="5">
        <v>237.0</v>
      </c>
      <c r="L243" s="5">
        <v>12.0</v>
      </c>
    </row>
    <row r="244">
      <c r="K244" s="5">
        <v>238.0</v>
      </c>
      <c r="L244" s="5">
        <v>12.0</v>
      </c>
    </row>
    <row r="245">
      <c r="K245" s="5">
        <v>239.0</v>
      </c>
      <c r="L245" s="5">
        <v>12.0</v>
      </c>
    </row>
    <row r="246">
      <c r="K246" s="5">
        <v>240.0</v>
      </c>
      <c r="L246" s="5">
        <v>12.0</v>
      </c>
    </row>
    <row r="247">
      <c r="K247" s="5">
        <v>241.0</v>
      </c>
      <c r="L247" s="5">
        <v>12.0</v>
      </c>
    </row>
    <row r="248">
      <c r="K248" s="5">
        <v>242.0</v>
      </c>
      <c r="L248" s="5">
        <v>12.0</v>
      </c>
    </row>
    <row r="249">
      <c r="K249" s="5">
        <v>243.0</v>
      </c>
      <c r="L249" s="5">
        <v>12.0</v>
      </c>
    </row>
    <row r="250">
      <c r="K250" s="5">
        <v>244.0</v>
      </c>
      <c r="L250" s="5">
        <v>12.0</v>
      </c>
    </row>
    <row r="251">
      <c r="K251" s="5">
        <v>245.0</v>
      </c>
      <c r="L251" s="5">
        <v>12.0</v>
      </c>
    </row>
    <row r="252">
      <c r="K252" s="5">
        <v>246.0</v>
      </c>
      <c r="L252" s="5">
        <v>12.0</v>
      </c>
    </row>
    <row r="253">
      <c r="K253" s="5">
        <v>247.0</v>
      </c>
      <c r="L253" s="5">
        <v>12.0</v>
      </c>
    </row>
    <row r="254">
      <c r="K254" s="5">
        <v>248.0</v>
      </c>
      <c r="L254" s="5">
        <v>12.0</v>
      </c>
    </row>
    <row r="255">
      <c r="K255" s="5">
        <v>249.0</v>
      </c>
      <c r="L255" s="5">
        <v>12.0</v>
      </c>
    </row>
    <row r="256">
      <c r="K256" s="5">
        <v>250.0</v>
      </c>
      <c r="L256" s="5">
        <v>12.0</v>
      </c>
    </row>
    <row r="257">
      <c r="K257" s="5">
        <v>251.0</v>
      </c>
      <c r="L257" s="5">
        <v>12.0</v>
      </c>
    </row>
    <row r="258">
      <c r="K258" s="5">
        <v>252.0</v>
      </c>
      <c r="L258" s="5">
        <v>12.0</v>
      </c>
    </row>
    <row r="259">
      <c r="K259" s="5">
        <v>253.0</v>
      </c>
      <c r="L259" s="5">
        <v>12.0</v>
      </c>
    </row>
    <row r="260">
      <c r="K260" s="5">
        <v>254.0</v>
      </c>
      <c r="L260" s="5">
        <v>12.0</v>
      </c>
    </row>
    <row r="261">
      <c r="K261" s="5">
        <v>255.0</v>
      </c>
      <c r="L261" s="5">
        <v>12.0</v>
      </c>
    </row>
    <row r="262">
      <c r="K262" s="5">
        <v>256.0</v>
      </c>
      <c r="L262" s="5">
        <v>12.0</v>
      </c>
    </row>
    <row r="263">
      <c r="K263" s="5">
        <v>257.0</v>
      </c>
      <c r="L263" s="5">
        <v>12.0</v>
      </c>
    </row>
    <row r="264">
      <c r="K264" s="5">
        <v>258.0</v>
      </c>
      <c r="L264" s="5">
        <v>12.0</v>
      </c>
    </row>
    <row r="265">
      <c r="K265" s="5">
        <v>259.0</v>
      </c>
      <c r="L265" s="5">
        <v>12.0</v>
      </c>
    </row>
    <row r="266">
      <c r="K266" s="5">
        <v>260.0</v>
      </c>
      <c r="L266" s="5">
        <v>12.0</v>
      </c>
    </row>
    <row r="267">
      <c r="K267" s="5">
        <v>261.0</v>
      </c>
      <c r="L267" s="5">
        <v>12.0</v>
      </c>
    </row>
    <row r="268">
      <c r="K268" s="5">
        <v>262.0</v>
      </c>
      <c r="L268" s="5">
        <v>12.0</v>
      </c>
    </row>
    <row r="269">
      <c r="K269" s="5">
        <v>263.0</v>
      </c>
      <c r="L269" s="5">
        <v>12.0</v>
      </c>
    </row>
    <row r="270">
      <c r="K270" s="5">
        <v>264.0</v>
      </c>
      <c r="L270" s="5">
        <v>12.0</v>
      </c>
    </row>
    <row r="271">
      <c r="K271" s="5">
        <v>265.0</v>
      </c>
      <c r="L271" s="5">
        <v>12.0</v>
      </c>
    </row>
    <row r="272">
      <c r="K272" s="5">
        <v>266.0</v>
      </c>
      <c r="L272" s="5">
        <v>12.0</v>
      </c>
    </row>
    <row r="273">
      <c r="K273" s="5">
        <v>267.0</v>
      </c>
      <c r="L273" s="5">
        <v>12.0</v>
      </c>
    </row>
    <row r="274">
      <c r="K274" s="5">
        <v>268.0</v>
      </c>
      <c r="L274" s="5">
        <v>12.0</v>
      </c>
    </row>
    <row r="275">
      <c r="K275" s="5">
        <v>269.0</v>
      </c>
      <c r="L275" s="5">
        <v>12.0</v>
      </c>
    </row>
    <row r="276">
      <c r="K276" s="5">
        <v>270.0</v>
      </c>
      <c r="L276" s="5">
        <v>12.0</v>
      </c>
    </row>
    <row r="277">
      <c r="K277" s="5">
        <v>271.0</v>
      </c>
      <c r="L277" s="5">
        <v>12.0</v>
      </c>
    </row>
    <row r="278">
      <c r="K278" s="5">
        <v>272.0</v>
      </c>
      <c r="L278" s="5">
        <v>12.0</v>
      </c>
    </row>
    <row r="279">
      <c r="K279" s="5">
        <v>273.0</v>
      </c>
      <c r="L279" s="5">
        <v>12.0</v>
      </c>
    </row>
    <row r="280">
      <c r="K280" s="5">
        <v>274.0</v>
      </c>
      <c r="L280" s="5">
        <v>12.0</v>
      </c>
    </row>
    <row r="281">
      <c r="K281" s="5">
        <v>275.0</v>
      </c>
      <c r="L281" s="5">
        <v>12.0</v>
      </c>
    </row>
    <row r="282">
      <c r="K282" s="5">
        <v>276.0</v>
      </c>
      <c r="L282" s="5">
        <v>12.0</v>
      </c>
    </row>
    <row r="283">
      <c r="K283" s="5">
        <v>277.0</v>
      </c>
      <c r="L283" s="5">
        <v>12.0</v>
      </c>
    </row>
    <row r="284">
      <c r="K284" s="5">
        <v>278.0</v>
      </c>
      <c r="L284" s="5">
        <v>12.0</v>
      </c>
    </row>
    <row r="285">
      <c r="K285" s="5">
        <v>279.0</v>
      </c>
      <c r="L285" s="5">
        <v>12.0</v>
      </c>
    </row>
    <row r="286">
      <c r="K286" s="5">
        <v>280.0</v>
      </c>
      <c r="L286" s="5">
        <v>12.0</v>
      </c>
    </row>
    <row r="287">
      <c r="K287" s="5">
        <v>281.0</v>
      </c>
      <c r="L287" s="5">
        <v>12.0</v>
      </c>
    </row>
    <row r="288">
      <c r="K288" s="5">
        <v>282.0</v>
      </c>
      <c r="L288" s="5">
        <v>12.0</v>
      </c>
    </row>
    <row r="289">
      <c r="K289" s="5">
        <v>283.0</v>
      </c>
      <c r="L289" s="5">
        <v>12.0</v>
      </c>
    </row>
    <row r="290">
      <c r="K290" s="5">
        <v>284.0</v>
      </c>
      <c r="L290" s="5">
        <v>12.0</v>
      </c>
    </row>
    <row r="291">
      <c r="K291" s="5">
        <v>285.0</v>
      </c>
      <c r="L291" s="5">
        <v>12.0</v>
      </c>
    </row>
    <row r="292">
      <c r="K292" s="5">
        <v>286.0</v>
      </c>
      <c r="L292" s="5">
        <v>12.0</v>
      </c>
    </row>
    <row r="293">
      <c r="K293" s="5">
        <v>287.0</v>
      </c>
      <c r="L293" s="5">
        <v>12.0</v>
      </c>
    </row>
    <row r="294">
      <c r="K294" s="5">
        <v>288.0</v>
      </c>
      <c r="L294" s="5">
        <v>12.0</v>
      </c>
    </row>
    <row r="295">
      <c r="K295" s="5">
        <v>289.0</v>
      </c>
      <c r="L295" s="5">
        <v>12.0</v>
      </c>
    </row>
    <row r="296">
      <c r="K296" s="5">
        <v>290.0</v>
      </c>
      <c r="L296" s="5">
        <v>12.0</v>
      </c>
    </row>
    <row r="297">
      <c r="K297" s="5">
        <v>291.0</v>
      </c>
      <c r="L297" s="5">
        <v>12.0</v>
      </c>
    </row>
    <row r="298">
      <c r="K298" s="5">
        <v>292.0</v>
      </c>
      <c r="L298" s="5">
        <v>12.0</v>
      </c>
    </row>
    <row r="299">
      <c r="K299" s="5">
        <v>293.0</v>
      </c>
      <c r="L299" s="5">
        <v>12.0</v>
      </c>
    </row>
    <row r="300">
      <c r="K300" s="5">
        <v>294.0</v>
      </c>
      <c r="L300" s="5">
        <v>12.0</v>
      </c>
    </row>
    <row r="301">
      <c r="K301" s="5">
        <v>295.0</v>
      </c>
      <c r="L301" s="5">
        <v>12.0</v>
      </c>
    </row>
    <row r="302">
      <c r="K302" s="5">
        <v>296.0</v>
      </c>
      <c r="L302" s="5">
        <v>12.0</v>
      </c>
    </row>
    <row r="303">
      <c r="K303" s="5">
        <v>297.0</v>
      </c>
      <c r="L303" s="5">
        <v>12.0</v>
      </c>
    </row>
    <row r="304">
      <c r="K304" s="5">
        <v>298.0</v>
      </c>
      <c r="L304" s="5">
        <v>12.0</v>
      </c>
    </row>
    <row r="305">
      <c r="K305" s="5">
        <v>299.0</v>
      </c>
      <c r="L305" s="5">
        <v>12.0</v>
      </c>
    </row>
    <row r="306">
      <c r="K306" s="5">
        <v>300.0</v>
      </c>
      <c r="L306" s="5">
        <v>12.0</v>
      </c>
    </row>
    <row r="307">
      <c r="K307" s="5">
        <v>301.0</v>
      </c>
      <c r="L307" s="5">
        <v>12.0</v>
      </c>
    </row>
    <row r="308">
      <c r="K308" s="5">
        <v>302.0</v>
      </c>
      <c r="L308" s="5">
        <v>12.0</v>
      </c>
    </row>
    <row r="309">
      <c r="K309" s="5">
        <v>303.0</v>
      </c>
      <c r="L309" s="5">
        <v>12.0</v>
      </c>
    </row>
    <row r="310">
      <c r="K310" s="5">
        <v>304.0</v>
      </c>
      <c r="L310" s="5">
        <v>12.0</v>
      </c>
    </row>
    <row r="311">
      <c r="K311" s="5">
        <v>305.0</v>
      </c>
      <c r="L311" s="5">
        <v>12.0</v>
      </c>
    </row>
    <row r="312">
      <c r="K312" s="5">
        <v>306.0</v>
      </c>
      <c r="L312" s="5">
        <v>12.0</v>
      </c>
    </row>
    <row r="313">
      <c r="K313" s="5">
        <v>307.0</v>
      </c>
      <c r="L313" s="5">
        <v>12.0</v>
      </c>
    </row>
    <row r="314">
      <c r="K314" s="5">
        <v>308.0</v>
      </c>
      <c r="L314" s="5">
        <v>12.0</v>
      </c>
    </row>
    <row r="315">
      <c r="K315" s="5">
        <v>309.0</v>
      </c>
      <c r="L315" s="5">
        <v>12.0</v>
      </c>
    </row>
    <row r="316">
      <c r="K316" s="5">
        <v>310.0</v>
      </c>
      <c r="L316" s="5">
        <v>12.0</v>
      </c>
    </row>
    <row r="317">
      <c r="K317" s="5">
        <v>311.0</v>
      </c>
      <c r="L317" s="5">
        <v>12.0</v>
      </c>
    </row>
    <row r="318">
      <c r="K318" s="5">
        <v>312.0</v>
      </c>
      <c r="L318" s="5">
        <v>12.0</v>
      </c>
    </row>
    <row r="319">
      <c r="K319" s="5">
        <v>313.0</v>
      </c>
      <c r="L319" s="5">
        <v>12.0</v>
      </c>
    </row>
    <row r="320">
      <c r="K320" s="5">
        <v>314.0</v>
      </c>
      <c r="L320" s="5">
        <v>12.0</v>
      </c>
    </row>
    <row r="321">
      <c r="K321" s="5">
        <v>315.0</v>
      </c>
      <c r="L321" s="5">
        <v>12.0</v>
      </c>
    </row>
    <row r="322">
      <c r="K322" s="5">
        <v>316.0</v>
      </c>
      <c r="L322" s="5">
        <v>12.0</v>
      </c>
    </row>
    <row r="323">
      <c r="K323" s="5">
        <v>317.0</v>
      </c>
      <c r="L323" s="5">
        <v>12.0</v>
      </c>
    </row>
    <row r="324">
      <c r="K324" s="5">
        <v>318.0</v>
      </c>
      <c r="L324" s="5">
        <v>12.0</v>
      </c>
    </row>
    <row r="325">
      <c r="K325" s="5">
        <v>319.0</v>
      </c>
      <c r="L325" s="5">
        <v>12.0</v>
      </c>
    </row>
    <row r="326">
      <c r="K326" s="5">
        <v>320.0</v>
      </c>
      <c r="L326" s="5">
        <v>12.0</v>
      </c>
    </row>
    <row r="327">
      <c r="K327" s="5">
        <v>321.0</v>
      </c>
      <c r="L327" s="5">
        <v>12.0</v>
      </c>
    </row>
    <row r="328">
      <c r="K328" s="5">
        <v>322.0</v>
      </c>
      <c r="L328" s="5">
        <v>12.0</v>
      </c>
    </row>
    <row r="329">
      <c r="K329" s="5">
        <v>323.0</v>
      </c>
      <c r="L329" s="5">
        <v>12.0</v>
      </c>
    </row>
    <row r="330">
      <c r="K330" s="5">
        <v>324.0</v>
      </c>
      <c r="L330" s="5">
        <v>12.0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7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4.00" customWidth="1"/>
    <col min="2" max="2" width="10.00" customWidth="1"/>
    <col min="3" max="3" width="3.00" customWidth="1"/>
    <col min="4" max="4" width="14.00" customWidth="1"/>
    <col min="5" max="5" width="16.00" customWidth="1"/>
    <col min="6" max="6" width="18.00" customWidth="1"/>
  </cols>
  <sheetData>
    <row r="1">
      <c r="A1" s="1" t="inlineStr">
        <is>
          <t xml:space="preserve">Distribution des surfaces de toit – Urbain1</t>
        </is>
      </c>
    </row>
    <row r="2">
      <c r="A2" s="9" t="inlineStr">
        <is>
          <t xml:space="preserve">Nombre de toits par tranche de 1 m², puis parts cumulées des toits et de la population.</t>
        </is>
      </c>
    </row>
    <row r="4">
      <c r="A4" s="3" t="inlineStr">
        <is>
          <t xml:space="preserve">Surface (m², tranche de 1 m²)</t>
        </is>
      </c>
      <c r="B4" s="3" t="inlineStr">
        <is>
          <t xml:space="preserve">Toits</t>
        </is>
      </c>
      <c r="D4" s="3" t="inlineStr">
        <is>
          <t xml:space="preserve">Jusqu'à (m²)</t>
        </is>
      </c>
      <c r="E4" s="3" t="inlineStr">
        <is>
          <t xml:space="preserve">Part cumulée des toits</t>
        </is>
      </c>
      <c r="F4" s="3" t="inlineStr">
        <is>
          <t xml:space="preserve">Part cumulée de la population</t>
        </is>
      </c>
    </row>
    <row r="5">
      <c r="A5" s="4">
        <v>0</v>
      </c>
      <c r="B5" s="4">
        <v>0</v>
      </c>
      <c r="D5" s="5">
        <v>1.0</v>
      </c>
      <c r="E5" s="7">
        <v>0.0</v>
      </c>
      <c r="F5" s="7">
        <v>0.0</v>
      </c>
    </row>
    <row r="6">
      <c r="A6" s="4">
        <v>1</v>
      </c>
      <c r="B6" s="4">
        <v>0</v>
      </c>
      <c r="D6" s="5">
        <v>2.0</v>
      </c>
      <c r="E6" s="7">
        <v>0.0</v>
      </c>
      <c r="F6" s="7">
        <v>0.0</v>
      </c>
    </row>
    <row r="7">
      <c r="A7" s="4">
        <v>2</v>
      </c>
      <c r="B7" s="4">
        <v>0</v>
      </c>
      <c r="D7" s="5">
        <v>3.0</v>
      </c>
      <c r="E7" s="7">
        <v>0.0</v>
      </c>
      <c r="F7" s="7">
        <v>0.0</v>
      </c>
    </row>
    <row r="8">
      <c r="A8" s="4">
        <v>3</v>
      </c>
      <c r="B8" s="4">
        <v>0</v>
      </c>
      <c r="D8" s="5">
        <v>4.0</v>
      </c>
      <c r="E8" s="7">
        <v>0.0</v>
      </c>
      <c r="F8" s="7">
        <v>0.0</v>
      </c>
    </row>
    <row r="9">
      <c r="A9" s="4">
        <v>4</v>
      </c>
      <c r="B9" s="4">
        <v>2</v>
      </c>
      <c r="D9" s="5">
        <v>5.0</v>
      </c>
      <c r="E9" s="7">
        <v>0.000351</v>
      </c>
      <c r="F9" s="7">
        <v>0.0</v>
      </c>
    </row>
    <row r="10">
      <c r="A10" s="4">
        <v>5</v>
      </c>
      <c r="B10" s="4">
        <v>4</v>
      </c>
      <c r="D10" s="5">
        <v>6.0</v>
      </c>
      <c r="E10" s="7">
        <v>0.001053</v>
      </c>
      <c r="F10" s="7">
        <v>0.0</v>
      </c>
    </row>
    <row r="11">
      <c r="A11" s="4">
        <v>6</v>
      </c>
      <c r="B11" s="4">
        <v>5</v>
      </c>
      <c r="D11" s="5">
        <v>7.0</v>
      </c>
      <c r="E11" s="7">
        <v>0.001931</v>
      </c>
      <c r="F11" s="7">
        <v>0.0</v>
      </c>
    </row>
    <row r="12">
      <c r="A12" s="4">
        <v>7</v>
      </c>
      <c r="B12" s="4">
        <v>4</v>
      </c>
      <c r="D12" s="5">
        <v>8.0</v>
      </c>
      <c r="E12" s="7">
        <v>0.002633</v>
      </c>
      <c r="F12" s="7">
        <v>0.0</v>
      </c>
    </row>
    <row r="13">
      <c r="A13" s="4">
        <v>8</v>
      </c>
      <c r="B13" s="4">
        <v>33</v>
      </c>
      <c r="D13" s="5">
        <v>9.0</v>
      </c>
      <c r="E13" s="7">
        <v>0.008427</v>
      </c>
      <c r="F13" s="7">
        <v>0.0</v>
      </c>
    </row>
    <row r="14">
      <c r="A14" s="4">
        <v>9</v>
      </c>
      <c r="B14" s="4">
        <v>37</v>
      </c>
      <c r="D14" s="5">
        <v>10.0</v>
      </c>
      <c r="E14" s="7">
        <v>0.014923</v>
      </c>
      <c r="F14" s="7">
        <v>0.000813</v>
      </c>
    </row>
    <row r="15">
      <c r="A15" s="4">
        <v>10</v>
      </c>
      <c r="B15" s="4">
        <v>34</v>
      </c>
      <c r="D15" s="5">
        <v>11.0</v>
      </c>
      <c r="E15" s="7">
        <v>0.020892</v>
      </c>
      <c r="F15" s="7">
        <v>0.001799</v>
      </c>
    </row>
    <row r="16">
      <c r="A16" s="4">
        <v>11</v>
      </c>
      <c r="B16" s="4">
        <v>31</v>
      </c>
      <c r="D16" s="5">
        <v>12.0</v>
      </c>
      <c r="E16" s="7">
        <v>0.026334</v>
      </c>
      <c r="F16" s="7">
        <v>0.002699</v>
      </c>
    </row>
    <row r="17">
      <c r="A17" s="4">
        <v>12</v>
      </c>
      <c r="B17" s="4">
        <v>40</v>
      </c>
      <c r="D17" s="5">
        <v>13.0</v>
      </c>
      <c r="E17" s="7">
        <v>0.033357</v>
      </c>
      <c r="F17" s="7">
        <v>0.00386</v>
      </c>
    </row>
    <row r="18">
      <c r="A18" s="4">
        <v>13</v>
      </c>
      <c r="B18" s="4">
        <v>44</v>
      </c>
      <c r="D18" s="5">
        <v>14.0</v>
      </c>
      <c r="E18" s="7">
        <v>0.041081</v>
      </c>
      <c r="F18" s="7">
        <v>0.005137</v>
      </c>
    </row>
    <row r="19">
      <c r="A19" s="4">
        <v>14</v>
      </c>
      <c r="B19" s="4">
        <v>58</v>
      </c>
      <c r="D19" s="5">
        <v>15.0</v>
      </c>
      <c r="E19" s="7">
        <v>0.051264</v>
      </c>
      <c r="F19" s="7">
        <v>0.00682</v>
      </c>
    </row>
    <row r="20">
      <c r="A20" s="4">
        <v>15</v>
      </c>
      <c r="B20" s="4">
        <v>38</v>
      </c>
      <c r="D20" s="5">
        <v>16.0</v>
      </c>
      <c r="E20" s="7">
        <v>0.057935</v>
      </c>
      <c r="F20" s="7">
        <v>0.007922</v>
      </c>
    </row>
    <row r="21">
      <c r="A21" s="4">
        <v>16</v>
      </c>
      <c r="B21" s="4">
        <v>41</v>
      </c>
      <c r="D21" s="5">
        <v>17.0</v>
      </c>
      <c r="E21" s="7">
        <v>0.065133</v>
      </c>
      <c r="F21" s="7">
        <v>0.009112</v>
      </c>
    </row>
    <row r="22">
      <c r="A22" s="4">
        <v>17</v>
      </c>
      <c r="B22" s="4">
        <v>29</v>
      </c>
      <c r="D22" s="5">
        <v>18.0</v>
      </c>
      <c r="E22" s="7">
        <v>0.070225</v>
      </c>
      <c r="F22" s="7">
        <v>0.009954</v>
      </c>
    </row>
    <row r="23">
      <c r="A23" s="4">
        <v>18</v>
      </c>
      <c r="B23" s="4">
        <v>62</v>
      </c>
      <c r="D23" s="5">
        <v>19.0</v>
      </c>
      <c r="E23" s="7">
        <v>0.08111</v>
      </c>
      <c r="F23" s="7">
        <v>0.011753</v>
      </c>
    </row>
    <row r="24">
      <c r="A24" s="4">
        <v>19</v>
      </c>
      <c r="B24" s="4">
        <v>46</v>
      </c>
      <c r="D24" s="5">
        <v>20.0</v>
      </c>
      <c r="E24" s="7">
        <v>0.089185</v>
      </c>
      <c r="F24" s="7">
        <v>0.013088</v>
      </c>
    </row>
    <row r="25">
      <c r="A25" s="4">
        <v>20</v>
      </c>
      <c r="B25" s="4">
        <v>48</v>
      </c>
      <c r="D25" s="5">
        <v>21.0</v>
      </c>
      <c r="E25" s="7">
        <v>0.097612</v>
      </c>
      <c r="F25" s="7">
        <v>0.014481</v>
      </c>
    </row>
    <row r="26">
      <c r="A26" s="4">
        <v>21</v>
      </c>
      <c r="B26" s="4">
        <v>42</v>
      </c>
      <c r="D26" s="5">
        <v>22.0</v>
      </c>
      <c r="E26" s="7">
        <v>0.104986</v>
      </c>
      <c r="F26" s="7">
        <v>0.0157</v>
      </c>
    </row>
    <row r="27">
      <c r="A27" s="4">
        <v>22</v>
      </c>
      <c r="B27" s="4">
        <v>45</v>
      </c>
      <c r="D27" s="5">
        <v>23.0</v>
      </c>
      <c r="E27" s="7">
        <v>0.112886</v>
      </c>
      <c r="F27" s="7">
        <v>0.017006</v>
      </c>
    </row>
    <row r="28">
      <c r="A28" s="4">
        <v>23</v>
      </c>
      <c r="B28" s="4">
        <v>61</v>
      </c>
      <c r="D28" s="5">
        <v>24.0</v>
      </c>
      <c r="E28" s="7">
        <v>0.123596</v>
      </c>
      <c r="F28" s="7">
        <v>0.018776</v>
      </c>
    </row>
    <row r="29">
      <c r="A29" s="4">
        <v>24</v>
      </c>
      <c r="B29" s="4">
        <v>34</v>
      </c>
      <c r="D29" s="5">
        <v>25.0</v>
      </c>
      <c r="E29" s="7">
        <v>0.129565</v>
      </c>
      <c r="F29" s="7">
        <v>0.019763</v>
      </c>
    </row>
    <row r="30">
      <c r="A30" s="4">
        <v>25</v>
      </c>
      <c r="B30" s="4">
        <v>50</v>
      </c>
      <c r="D30" s="5">
        <v>26.0</v>
      </c>
      <c r="E30" s="7">
        <v>0.138343</v>
      </c>
      <c r="F30" s="7">
        <v>0.021214</v>
      </c>
    </row>
    <row r="31">
      <c r="A31" s="4">
        <v>26</v>
      </c>
      <c r="B31" s="4">
        <v>43</v>
      </c>
      <c r="D31" s="5">
        <v>27.0</v>
      </c>
      <c r="E31" s="7">
        <v>0.145892</v>
      </c>
      <c r="F31" s="7">
        <v>0.022461</v>
      </c>
    </row>
    <row r="32">
      <c r="A32" s="4">
        <v>27</v>
      </c>
      <c r="B32" s="4">
        <v>44</v>
      </c>
      <c r="D32" s="5">
        <v>28.0</v>
      </c>
      <c r="E32" s="7">
        <v>0.153617</v>
      </c>
      <c r="F32" s="7">
        <v>0.026292</v>
      </c>
    </row>
    <row r="33">
      <c r="A33" s="4">
        <v>28</v>
      </c>
      <c r="B33" s="4">
        <v>46</v>
      </c>
      <c r="D33" s="5">
        <v>29.0</v>
      </c>
      <c r="E33" s="7">
        <v>0.161692</v>
      </c>
      <c r="F33" s="7">
        <v>0.030297</v>
      </c>
    </row>
    <row r="34">
      <c r="A34" s="4">
        <v>29</v>
      </c>
      <c r="B34" s="4">
        <v>42</v>
      </c>
      <c r="D34" s="5">
        <v>30.0</v>
      </c>
      <c r="E34" s="7">
        <v>0.169066</v>
      </c>
      <c r="F34" s="7">
        <v>0.033953</v>
      </c>
    </row>
    <row r="35">
      <c r="A35" s="4">
        <v>30</v>
      </c>
      <c r="B35" s="4">
        <v>39</v>
      </c>
      <c r="D35" s="5">
        <v>31.0</v>
      </c>
      <c r="E35" s="7">
        <v>0.175913</v>
      </c>
      <c r="F35" s="7">
        <v>0.037349</v>
      </c>
    </row>
    <row r="36">
      <c r="A36" s="4">
        <v>31</v>
      </c>
      <c r="B36" s="4">
        <v>49</v>
      </c>
      <c r="D36" s="5">
        <v>32.0</v>
      </c>
      <c r="E36" s="7">
        <v>0.184515</v>
      </c>
      <c r="F36" s="7">
        <v>0.041615</v>
      </c>
    </row>
    <row r="37">
      <c r="A37" s="4">
        <v>32</v>
      </c>
      <c r="B37" s="4">
        <v>48</v>
      </c>
      <c r="D37" s="5">
        <v>33.0</v>
      </c>
      <c r="E37" s="7">
        <v>0.192942</v>
      </c>
      <c r="F37" s="7">
        <v>0.045794</v>
      </c>
    </row>
    <row r="38">
      <c r="A38" s="4">
        <v>33</v>
      </c>
      <c r="B38" s="4">
        <v>32</v>
      </c>
      <c r="D38" s="5">
        <v>34.0</v>
      </c>
      <c r="E38" s="7">
        <v>0.19856</v>
      </c>
      <c r="F38" s="7">
        <v>0.048579</v>
      </c>
    </row>
    <row r="39">
      <c r="A39" s="4">
        <v>34</v>
      </c>
      <c r="B39" s="4">
        <v>51</v>
      </c>
      <c r="D39" s="5">
        <v>35.0</v>
      </c>
      <c r="E39" s="7">
        <v>0.207514</v>
      </c>
      <c r="F39" s="7">
        <v>0.05302</v>
      </c>
    </row>
    <row r="40">
      <c r="A40" s="4">
        <v>35</v>
      </c>
      <c r="B40" s="4">
        <v>42</v>
      </c>
      <c r="D40" s="5">
        <v>36.0</v>
      </c>
      <c r="E40" s="7">
        <v>0.214888</v>
      </c>
      <c r="F40" s="7">
        <v>0.056676</v>
      </c>
    </row>
    <row r="41">
      <c r="A41" s="4">
        <v>36</v>
      </c>
      <c r="B41" s="4">
        <v>52</v>
      </c>
      <c r="D41" s="5">
        <v>37.0</v>
      </c>
      <c r="E41" s="7">
        <v>0.224017</v>
      </c>
      <c r="F41" s="7">
        <v>0.061203</v>
      </c>
    </row>
    <row r="42">
      <c r="A42" s="4">
        <v>37</v>
      </c>
      <c r="B42" s="4">
        <v>56</v>
      </c>
      <c r="D42" s="5">
        <v>38.0</v>
      </c>
      <c r="E42" s="7">
        <v>0.233848</v>
      </c>
      <c r="F42" s="7">
        <v>0.066079</v>
      </c>
      <c r="H42" s="9" t="inlineStr">
        <is>
          <t xml:space="preserve">Plancher : 9,2 m² ; plafond : 162 m².</t>
        </is>
      </c>
    </row>
    <row r="43">
      <c r="A43" s="4">
        <v>38</v>
      </c>
      <c r="B43" s="4">
        <v>47</v>
      </c>
      <c r="D43" s="5">
        <v>39.0</v>
      </c>
      <c r="E43" s="7">
        <v>0.2421</v>
      </c>
      <c r="F43" s="7">
        <v>0.07017</v>
      </c>
    </row>
    <row r="44">
      <c r="A44" s="4">
        <v>39</v>
      </c>
      <c r="B44" s="4">
        <v>45</v>
      </c>
      <c r="D44" s="5">
        <v>40.0</v>
      </c>
      <c r="E44" s="7">
        <v>0.25</v>
      </c>
      <c r="F44" s="7">
        <v>0.074088</v>
      </c>
    </row>
    <row r="45">
      <c r="A45" s="4">
        <v>40</v>
      </c>
      <c r="B45" s="4">
        <v>55</v>
      </c>
      <c r="D45" s="5">
        <v>41.0</v>
      </c>
      <c r="E45" s="7">
        <v>0.259656</v>
      </c>
      <c r="F45" s="7">
        <v>0.078876</v>
      </c>
    </row>
    <row r="46">
      <c r="A46" s="4">
        <v>41</v>
      </c>
      <c r="B46" s="4">
        <v>50</v>
      </c>
      <c r="D46" s="5">
        <v>42.0</v>
      </c>
      <c r="E46" s="7">
        <v>0.268434</v>
      </c>
      <c r="F46" s="7">
        <v>0.083229</v>
      </c>
    </row>
    <row r="47">
      <c r="A47" s="4">
        <v>42</v>
      </c>
      <c r="B47" s="4">
        <v>39</v>
      </c>
      <c r="D47" s="5">
        <v>43.0</v>
      </c>
      <c r="E47" s="7">
        <v>0.275281</v>
      </c>
      <c r="F47" s="7">
        <v>0.086625</v>
      </c>
    </row>
    <row r="48">
      <c r="A48" s="4">
        <v>43</v>
      </c>
      <c r="B48" s="4">
        <v>47</v>
      </c>
      <c r="D48" s="5">
        <v>44.0</v>
      </c>
      <c r="E48" s="7">
        <v>0.283532</v>
      </c>
      <c r="F48" s="7">
        <v>0.090717</v>
      </c>
    </row>
    <row r="49">
      <c r="A49" s="4">
        <v>44</v>
      </c>
      <c r="B49" s="4">
        <v>45</v>
      </c>
      <c r="D49" s="5">
        <v>45.0</v>
      </c>
      <c r="E49" s="7">
        <v>0.291433</v>
      </c>
      <c r="F49" s="7">
        <v>0.09594</v>
      </c>
    </row>
    <row r="50">
      <c r="A50" s="4">
        <v>45</v>
      </c>
      <c r="B50" s="4">
        <v>45</v>
      </c>
      <c r="D50" s="5">
        <v>46.0</v>
      </c>
      <c r="E50" s="7">
        <v>0.299333</v>
      </c>
      <c r="F50" s="7">
        <v>0.101164</v>
      </c>
    </row>
    <row r="51">
      <c r="A51" s="4">
        <v>46</v>
      </c>
      <c r="B51" s="4">
        <v>47</v>
      </c>
      <c r="D51" s="5">
        <v>47.0</v>
      </c>
      <c r="E51" s="7">
        <v>0.307584</v>
      </c>
      <c r="F51" s="7">
        <v>0.106619</v>
      </c>
    </row>
    <row r="52">
      <c r="A52" s="4">
        <v>47</v>
      </c>
      <c r="B52" s="4">
        <v>56</v>
      </c>
      <c r="D52" s="5">
        <v>48.0</v>
      </c>
      <c r="E52" s="7">
        <v>0.317416</v>
      </c>
      <c r="F52" s="7">
        <v>0.11312</v>
      </c>
    </row>
    <row r="53">
      <c r="A53" s="4">
        <v>48</v>
      </c>
      <c r="B53" s="4">
        <v>45</v>
      </c>
      <c r="D53" s="5">
        <v>49.0</v>
      </c>
      <c r="E53" s="7">
        <v>0.325316</v>
      </c>
      <c r="F53" s="7">
        <v>0.118344</v>
      </c>
    </row>
    <row r="54">
      <c r="A54" s="4">
        <v>49</v>
      </c>
      <c r="B54" s="4">
        <v>42</v>
      </c>
      <c r="D54" s="5">
        <v>50.0</v>
      </c>
      <c r="E54" s="7">
        <v>0.33269</v>
      </c>
      <c r="F54" s="7">
        <v>0.123219</v>
      </c>
    </row>
    <row r="55">
      <c r="A55" s="4">
        <v>50</v>
      </c>
      <c r="B55" s="4">
        <v>57</v>
      </c>
      <c r="D55" s="5">
        <v>51.0</v>
      </c>
      <c r="E55" s="7">
        <v>0.342697</v>
      </c>
      <c r="F55" s="7">
        <v>0.129835</v>
      </c>
    </row>
    <row r="56">
      <c r="A56" s="4">
        <v>51</v>
      </c>
      <c r="B56" s="4">
        <v>42</v>
      </c>
      <c r="D56" s="5">
        <v>52.0</v>
      </c>
      <c r="E56" s="7">
        <v>0.35007</v>
      </c>
      <c r="F56" s="7">
        <v>0.134711</v>
      </c>
    </row>
    <row r="57">
      <c r="A57" s="4">
        <v>52</v>
      </c>
      <c r="B57" s="4">
        <v>41</v>
      </c>
      <c r="D57" s="5">
        <v>53.0</v>
      </c>
      <c r="E57" s="7">
        <v>0.357268</v>
      </c>
      <c r="F57" s="7">
        <v>0.13947</v>
      </c>
    </row>
    <row r="58">
      <c r="A58" s="4">
        <v>53</v>
      </c>
      <c r="B58" s="4">
        <v>52</v>
      </c>
      <c r="D58" s="5">
        <v>54.0</v>
      </c>
      <c r="E58" s="7">
        <v>0.366397</v>
      </c>
      <c r="F58" s="7">
        <v>0.145506</v>
      </c>
    </row>
    <row r="59">
      <c r="A59" s="4">
        <v>54</v>
      </c>
      <c r="B59" s="4">
        <v>55</v>
      </c>
      <c r="D59" s="5">
        <v>55.0</v>
      </c>
      <c r="E59" s="7">
        <v>0.376053</v>
      </c>
      <c r="F59" s="7">
        <v>0.151891</v>
      </c>
    </row>
    <row r="60">
      <c r="A60" s="4">
        <v>55</v>
      </c>
      <c r="B60" s="4">
        <v>63</v>
      </c>
      <c r="D60" s="5">
        <v>56.0</v>
      </c>
      <c r="E60" s="7">
        <v>0.387114</v>
      </c>
      <c r="F60" s="7">
        <v>0.159204</v>
      </c>
    </row>
    <row r="61">
      <c r="A61" s="4">
        <v>56</v>
      </c>
      <c r="B61" s="4">
        <v>61</v>
      </c>
      <c r="D61" s="5">
        <v>57.0</v>
      </c>
      <c r="E61" s="7">
        <v>0.397823</v>
      </c>
      <c r="F61" s="7">
        <v>0.166285</v>
      </c>
    </row>
    <row r="62">
      <c r="A62" s="4">
        <v>57</v>
      </c>
      <c r="B62" s="4">
        <v>59</v>
      </c>
      <c r="D62" s="5">
        <v>58.0</v>
      </c>
      <c r="E62" s="7">
        <v>0.408181</v>
      </c>
      <c r="F62" s="7">
        <v>0.173133</v>
      </c>
    </row>
    <row r="63">
      <c r="A63" s="4">
        <v>58</v>
      </c>
      <c r="B63" s="4">
        <v>59</v>
      </c>
      <c r="D63" s="5">
        <v>59.0</v>
      </c>
      <c r="E63" s="7">
        <v>0.418539</v>
      </c>
      <c r="F63" s="7">
        <v>0.179982</v>
      </c>
    </row>
    <row r="64">
      <c r="A64" s="4">
        <v>59</v>
      </c>
      <c r="B64" s="4">
        <v>45</v>
      </c>
      <c r="D64" s="5">
        <v>60.0</v>
      </c>
      <c r="E64" s="7">
        <v>0.42644</v>
      </c>
      <c r="F64" s="7">
        <v>0.185206</v>
      </c>
    </row>
    <row r="65">
      <c r="A65" s="4">
        <v>60</v>
      </c>
      <c r="B65" s="4">
        <v>45</v>
      </c>
      <c r="D65" s="5">
        <v>61.0</v>
      </c>
      <c r="E65" s="7">
        <v>0.43434</v>
      </c>
      <c r="F65" s="7">
        <v>0.193041</v>
      </c>
    </row>
    <row r="66">
      <c r="A66" s="4">
        <v>61</v>
      </c>
      <c r="B66" s="4">
        <v>36</v>
      </c>
      <c r="D66" s="5">
        <v>62.0</v>
      </c>
      <c r="E66" s="7">
        <v>0.44066</v>
      </c>
      <c r="F66" s="7">
        <v>0.199309</v>
      </c>
    </row>
    <row r="67">
      <c r="A67" s="4">
        <v>62</v>
      </c>
      <c r="B67" s="4">
        <v>42</v>
      </c>
      <c r="D67" s="5">
        <v>63.0</v>
      </c>
      <c r="E67" s="7">
        <v>0.448034</v>
      </c>
      <c r="F67" s="7">
        <v>0.206622</v>
      </c>
    </row>
    <row r="68">
      <c r="A68" s="4">
        <v>63</v>
      </c>
      <c r="B68" s="4">
        <v>50</v>
      </c>
      <c r="D68" s="5">
        <v>64.0</v>
      </c>
      <c r="E68" s="7">
        <v>0.456812</v>
      </c>
      <c r="F68" s="7">
        <v>0.215328</v>
      </c>
    </row>
    <row r="69">
      <c r="A69" s="4">
        <v>64</v>
      </c>
      <c r="B69" s="4">
        <v>69</v>
      </c>
      <c r="D69" s="5">
        <v>65.0</v>
      </c>
      <c r="E69" s="7">
        <v>0.468926</v>
      </c>
      <c r="F69" s="7">
        <v>0.227343</v>
      </c>
    </row>
    <row r="70">
      <c r="A70" s="4">
        <v>65</v>
      </c>
      <c r="B70" s="4">
        <v>45</v>
      </c>
      <c r="D70" s="5">
        <v>66.0</v>
      </c>
      <c r="E70" s="7">
        <v>0.476826</v>
      </c>
      <c r="F70" s="7">
        <v>0.235178</v>
      </c>
    </row>
    <row r="71">
      <c r="A71" s="4">
        <v>66</v>
      </c>
      <c r="B71" s="4">
        <v>42</v>
      </c>
      <c r="D71" s="5">
        <v>67.0</v>
      </c>
      <c r="E71" s="7">
        <v>0.484199</v>
      </c>
      <c r="F71" s="7">
        <v>0.242491</v>
      </c>
    </row>
    <row r="72">
      <c r="A72" s="4">
        <v>67</v>
      </c>
      <c r="B72" s="4">
        <v>42</v>
      </c>
      <c r="D72" s="5">
        <v>68.0</v>
      </c>
      <c r="E72" s="7">
        <v>0.491573</v>
      </c>
      <c r="F72" s="7">
        <v>0.249804</v>
      </c>
    </row>
    <row r="73">
      <c r="A73" s="4">
        <v>68</v>
      </c>
      <c r="B73" s="4">
        <v>43</v>
      </c>
      <c r="D73" s="5">
        <v>69.0</v>
      </c>
      <c r="E73" s="7">
        <v>0.499122</v>
      </c>
      <c r="F73" s="7">
        <v>0.257291</v>
      </c>
    </row>
    <row r="74">
      <c r="A74" s="4">
        <v>69</v>
      </c>
      <c r="B74" s="4">
        <v>51</v>
      </c>
      <c r="D74" s="5">
        <v>70.0</v>
      </c>
      <c r="E74" s="7">
        <v>0.508076</v>
      </c>
      <c r="F74" s="7">
        <v>0.266171</v>
      </c>
    </row>
    <row r="75">
      <c r="A75" s="4">
        <v>70</v>
      </c>
      <c r="B75" s="4">
        <v>55</v>
      </c>
      <c r="D75" s="5">
        <v>71.0</v>
      </c>
      <c r="E75" s="7">
        <v>0.517732</v>
      </c>
      <c r="F75" s="7">
        <v>0.275748</v>
      </c>
    </row>
    <row r="76">
      <c r="A76" s="4">
        <v>71</v>
      </c>
      <c r="B76" s="4">
        <v>43</v>
      </c>
      <c r="D76" s="5">
        <v>72.0</v>
      </c>
      <c r="E76" s="7">
        <v>0.525281</v>
      </c>
      <c r="F76" s="7">
        <v>0.283235</v>
      </c>
    </row>
    <row r="77">
      <c r="A77" s="4">
        <v>72</v>
      </c>
      <c r="B77" s="4">
        <v>39</v>
      </c>
      <c r="D77" s="5">
        <v>73.0</v>
      </c>
      <c r="E77" s="7">
        <v>0.532128</v>
      </c>
      <c r="F77" s="7">
        <v>0.290026</v>
      </c>
    </row>
    <row r="78">
      <c r="A78" s="4">
        <v>73</v>
      </c>
      <c r="B78" s="4">
        <v>48</v>
      </c>
      <c r="D78" s="5">
        <v>74.0</v>
      </c>
      <c r="E78" s="7">
        <v>0.540555</v>
      </c>
      <c r="F78" s="7">
        <v>0.298384</v>
      </c>
    </row>
    <row r="79">
      <c r="A79" s="4">
        <v>74</v>
      </c>
      <c r="B79" s="4">
        <v>47</v>
      </c>
      <c r="D79" s="5">
        <v>75.0</v>
      </c>
      <c r="E79" s="7">
        <v>0.548806</v>
      </c>
      <c r="F79" s="7">
        <v>0.306567</v>
      </c>
    </row>
    <row r="80">
      <c r="A80" s="4">
        <v>75</v>
      </c>
      <c r="B80" s="4">
        <v>48</v>
      </c>
      <c r="D80" s="5">
        <v>76.0</v>
      </c>
      <c r="E80" s="7">
        <v>0.557233</v>
      </c>
      <c r="F80" s="7">
        <v>0.314925</v>
      </c>
    </row>
    <row r="81">
      <c r="A81" s="4">
        <v>76</v>
      </c>
      <c r="B81" s="4">
        <v>32</v>
      </c>
      <c r="D81" s="5">
        <v>77.0</v>
      </c>
      <c r="E81" s="7">
        <v>0.562851</v>
      </c>
      <c r="F81" s="7">
        <v>0.321425</v>
      </c>
    </row>
    <row r="82">
      <c r="A82" s="4">
        <v>77</v>
      </c>
      <c r="B82" s="4">
        <v>47</v>
      </c>
      <c r="D82" s="5">
        <v>78.0</v>
      </c>
      <c r="E82" s="7">
        <v>0.571103</v>
      </c>
      <c r="F82" s="7">
        <v>0.330973</v>
      </c>
    </row>
    <row r="83">
      <c r="A83" s="4">
        <v>78</v>
      </c>
      <c r="B83" s="4">
        <v>44</v>
      </c>
      <c r="D83" s="5">
        <v>79.0</v>
      </c>
      <c r="E83" s="7">
        <v>0.578827</v>
      </c>
      <c r="F83" s="7">
        <v>0.339911</v>
      </c>
    </row>
    <row r="84">
      <c r="A84" s="4">
        <v>79</v>
      </c>
      <c r="B84" s="4">
        <v>40</v>
      </c>
      <c r="D84" s="5">
        <v>80.0</v>
      </c>
      <c r="E84" s="7">
        <v>0.58585</v>
      </c>
      <c r="F84" s="7">
        <v>0.348037</v>
      </c>
    </row>
    <row r="85">
      <c r="A85" s="4">
        <v>80</v>
      </c>
      <c r="B85" s="4">
        <v>48</v>
      </c>
      <c r="D85" s="5">
        <v>81.0</v>
      </c>
      <c r="E85" s="7">
        <v>0.594277</v>
      </c>
      <c r="F85" s="7">
        <v>0.357788</v>
      </c>
    </row>
    <row r="86">
      <c r="A86" s="4">
        <v>81</v>
      </c>
      <c r="B86" s="4">
        <v>47</v>
      </c>
      <c r="D86" s="5">
        <v>82.0</v>
      </c>
      <c r="E86" s="7">
        <v>0.602528</v>
      </c>
      <c r="F86" s="7">
        <v>0.367335</v>
      </c>
    </row>
    <row r="87">
      <c r="A87" s="4">
        <v>82</v>
      </c>
      <c r="B87" s="4">
        <v>39</v>
      </c>
      <c r="D87" s="5">
        <v>83.0</v>
      </c>
      <c r="E87" s="7">
        <v>0.609375</v>
      </c>
      <c r="F87" s="7">
        <v>0.375258</v>
      </c>
    </row>
    <row r="88">
      <c r="A88" s="4">
        <v>83</v>
      </c>
      <c r="B88" s="4">
        <v>33</v>
      </c>
      <c r="D88" s="5">
        <v>84.0</v>
      </c>
      <c r="E88" s="7">
        <v>0.615169</v>
      </c>
      <c r="F88" s="7">
        <v>0.381961</v>
      </c>
    </row>
    <row r="89">
      <c r="A89" s="4">
        <v>84</v>
      </c>
      <c r="B89" s="4">
        <v>40</v>
      </c>
      <c r="D89" s="5">
        <v>85.0</v>
      </c>
      <c r="E89" s="7">
        <v>0.622191</v>
      </c>
      <c r="F89" s="7">
        <v>0.390087</v>
      </c>
    </row>
    <row r="90">
      <c r="A90" s="4">
        <v>85</v>
      </c>
      <c r="B90" s="4">
        <v>34</v>
      </c>
      <c r="D90" s="5">
        <v>86.0</v>
      </c>
      <c r="E90" s="7">
        <v>0.62816</v>
      </c>
      <c r="F90" s="7">
        <v>0.396994</v>
      </c>
    </row>
    <row r="91">
      <c r="A91" s="4">
        <v>86</v>
      </c>
      <c r="B91" s="4">
        <v>50</v>
      </c>
      <c r="D91" s="5">
        <v>87.0</v>
      </c>
      <c r="E91" s="7">
        <v>0.636938</v>
      </c>
      <c r="F91" s="7">
        <v>0.407151</v>
      </c>
    </row>
    <row r="92">
      <c r="A92" s="4">
        <v>87</v>
      </c>
      <c r="B92" s="4">
        <v>31</v>
      </c>
      <c r="D92" s="5">
        <v>88.0</v>
      </c>
      <c r="E92" s="7">
        <v>0.642381</v>
      </c>
      <c r="F92" s="7">
        <v>0.413448</v>
      </c>
    </row>
    <row r="93">
      <c r="A93" s="4">
        <v>88</v>
      </c>
      <c r="B93" s="4">
        <v>32</v>
      </c>
      <c r="D93" s="5">
        <v>89.0</v>
      </c>
      <c r="E93" s="7">
        <v>0.647999</v>
      </c>
      <c r="F93" s="7">
        <v>0.419948</v>
      </c>
    </row>
    <row r="94">
      <c r="A94" s="4">
        <v>89</v>
      </c>
      <c r="B94" s="4">
        <v>27</v>
      </c>
      <c r="D94" s="5">
        <v>90.0</v>
      </c>
      <c r="E94" s="7">
        <v>0.652739</v>
      </c>
      <c r="F94" s="7">
        <v>0.425433</v>
      </c>
    </row>
    <row r="95">
      <c r="A95" s="4">
        <v>90</v>
      </c>
      <c r="B95" s="4">
        <v>43</v>
      </c>
      <c r="D95" s="5">
        <v>91.0</v>
      </c>
      <c r="E95" s="7">
        <v>0.660288</v>
      </c>
      <c r="F95" s="7">
        <v>0.434168</v>
      </c>
    </row>
    <row r="96">
      <c r="A96" s="4">
        <v>91</v>
      </c>
      <c r="B96" s="4">
        <v>30</v>
      </c>
      <c r="D96" s="5">
        <v>92.0</v>
      </c>
      <c r="E96" s="7">
        <v>0.665555</v>
      </c>
      <c r="F96" s="7">
        <v>0.440262</v>
      </c>
    </row>
    <row r="97">
      <c r="A97" s="4">
        <v>92</v>
      </c>
      <c r="B97" s="4">
        <v>28</v>
      </c>
      <c r="D97" s="5">
        <v>93.0</v>
      </c>
      <c r="E97" s="7">
        <v>0.670471</v>
      </c>
      <c r="F97" s="7">
        <v>0.44595</v>
      </c>
    </row>
    <row r="98">
      <c r="A98" s="4">
        <v>93</v>
      </c>
      <c r="B98" s="4">
        <v>34</v>
      </c>
      <c r="D98" s="5">
        <v>94.0</v>
      </c>
      <c r="E98" s="7">
        <v>0.67644</v>
      </c>
      <c r="F98" s="7">
        <v>0.453844</v>
      </c>
    </row>
    <row r="99">
      <c r="A99" s="4">
        <v>94</v>
      </c>
      <c r="B99" s="4">
        <v>37</v>
      </c>
      <c r="D99" s="5">
        <v>95.0</v>
      </c>
      <c r="E99" s="7">
        <v>0.682935</v>
      </c>
      <c r="F99" s="7">
        <v>0.462434</v>
      </c>
    </row>
    <row r="100">
      <c r="A100" s="4">
        <v>95</v>
      </c>
      <c r="B100" s="4">
        <v>30</v>
      </c>
      <c r="D100" s="5">
        <v>96.0</v>
      </c>
      <c r="E100" s="7">
        <v>0.688202</v>
      </c>
      <c r="F100" s="7">
        <v>0.469398</v>
      </c>
    </row>
    <row r="101">
      <c r="A101" s="4">
        <v>96</v>
      </c>
      <c r="B101" s="4">
        <v>28</v>
      </c>
      <c r="D101" s="5">
        <v>97.0</v>
      </c>
      <c r="E101" s="7">
        <v>0.693118</v>
      </c>
      <c r="F101" s="7">
        <v>0.475899</v>
      </c>
    </row>
    <row r="102">
      <c r="A102" s="4">
        <v>97</v>
      </c>
      <c r="B102" s="4">
        <v>24</v>
      </c>
      <c r="D102" s="5">
        <v>98.0</v>
      </c>
      <c r="E102" s="7">
        <v>0.697331</v>
      </c>
      <c r="F102" s="7">
        <v>0.481471</v>
      </c>
    </row>
    <row r="103">
      <c r="A103" s="4">
        <v>98</v>
      </c>
      <c r="B103" s="4">
        <v>25</v>
      </c>
      <c r="D103" s="5">
        <v>99.0</v>
      </c>
      <c r="E103" s="7">
        <v>0.701721</v>
      </c>
      <c r="F103" s="7">
        <v>0.487275</v>
      </c>
    </row>
    <row r="104">
      <c r="A104" s="4">
        <v>99</v>
      </c>
      <c r="B104" s="4">
        <v>31</v>
      </c>
      <c r="D104" s="5">
        <v>100.0</v>
      </c>
      <c r="E104" s="7">
        <v>0.707163</v>
      </c>
      <c r="F104" s="7">
        <v>0.494472</v>
      </c>
    </row>
    <row r="105">
      <c r="A105" s="4">
        <v>100</v>
      </c>
      <c r="B105" s="4">
        <v>30</v>
      </c>
      <c r="D105" s="5">
        <v>101.0</v>
      </c>
      <c r="E105" s="7">
        <v>0.71243</v>
      </c>
      <c r="F105" s="7">
        <v>0.501436</v>
      </c>
    </row>
    <row r="106">
      <c r="A106" s="4">
        <v>101</v>
      </c>
      <c r="B106" s="4">
        <v>25</v>
      </c>
      <c r="D106" s="5">
        <v>102.0</v>
      </c>
      <c r="E106" s="7">
        <v>0.716819</v>
      </c>
      <c r="F106" s="7">
        <v>0.50724</v>
      </c>
    </row>
    <row r="107">
      <c r="A107" s="4">
        <v>102</v>
      </c>
      <c r="B107" s="4">
        <v>35</v>
      </c>
      <c r="D107" s="5">
        <v>103.0</v>
      </c>
      <c r="E107" s="7">
        <v>0.722963</v>
      </c>
      <c r="F107" s="7">
        <v>0.515366</v>
      </c>
    </row>
    <row r="108">
      <c r="A108" s="4">
        <v>103</v>
      </c>
      <c r="B108" s="4">
        <v>30</v>
      </c>
      <c r="D108" s="5">
        <v>104.0</v>
      </c>
      <c r="E108" s="7">
        <v>0.72823</v>
      </c>
      <c r="F108" s="7">
        <v>0.522331</v>
      </c>
    </row>
    <row r="109">
      <c r="A109" s="4">
        <v>104</v>
      </c>
      <c r="B109" s="4">
        <v>20</v>
      </c>
      <c r="D109" s="5">
        <v>105.0</v>
      </c>
      <c r="E109" s="7">
        <v>0.731742</v>
      </c>
      <c r="F109" s="7">
        <v>0.526974</v>
      </c>
    </row>
    <row r="110">
      <c r="A110" s="4">
        <v>105</v>
      </c>
      <c r="B110" s="4">
        <v>25</v>
      </c>
      <c r="D110" s="5">
        <v>106.0</v>
      </c>
      <c r="E110" s="7">
        <v>0.736131</v>
      </c>
      <c r="F110" s="7">
        <v>0.532778</v>
      </c>
    </row>
    <row r="111">
      <c r="A111" s="4">
        <v>106</v>
      </c>
      <c r="B111" s="4">
        <v>13</v>
      </c>
      <c r="D111" s="5">
        <v>107.0</v>
      </c>
      <c r="E111" s="7">
        <v>0.738413</v>
      </c>
      <c r="F111" s="7">
        <v>0.535796</v>
      </c>
    </row>
    <row r="112">
      <c r="A112" s="4">
        <v>107</v>
      </c>
      <c r="B112" s="4">
        <v>23</v>
      </c>
      <c r="D112" s="5">
        <v>108.0</v>
      </c>
      <c r="E112" s="7">
        <v>0.742451</v>
      </c>
      <c r="F112" s="7">
        <v>0.541136</v>
      </c>
    </row>
    <row r="113">
      <c r="A113" s="4">
        <v>108</v>
      </c>
      <c r="B113" s="4">
        <v>15</v>
      </c>
      <c r="D113" s="5">
        <v>109.0</v>
      </c>
      <c r="E113" s="7">
        <v>0.745084</v>
      </c>
      <c r="F113" s="7">
        <v>0.544618</v>
      </c>
    </row>
    <row r="114">
      <c r="A114" s="4">
        <v>109</v>
      </c>
      <c r="B114" s="4">
        <v>25</v>
      </c>
      <c r="D114" s="5">
        <v>110.0</v>
      </c>
      <c r="E114" s="7">
        <v>0.749473</v>
      </c>
      <c r="F114" s="7">
        <v>0.550422</v>
      </c>
    </row>
    <row r="115">
      <c r="A115" s="4">
        <v>110</v>
      </c>
      <c r="B115" s="4">
        <v>18</v>
      </c>
      <c r="D115" s="5">
        <v>111.0</v>
      </c>
      <c r="E115" s="7">
        <v>0.752633</v>
      </c>
      <c r="F115" s="7">
        <v>0.554601</v>
      </c>
    </row>
    <row r="116">
      <c r="A116" s="4">
        <v>111</v>
      </c>
      <c r="B116" s="4">
        <v>22</v>
      </c>
      <c r="D116" s="5">
        <v>112.0</v>
      </c>
      <c r="E116" s="7">
        <v>0.756496</v>
      </c>
      <c r="F116" s="7">
        <v>0.559709</v>
      </c>
    </row>
    <row r="117">
      <c r="A117" s="4">
        <v>112</v>
      </c>
      <c r="B117" s="4">
        <v>17</v>
      </c>
      <c r="D117" s="5">
        <v>113.0</v>
      </c>
      <c r="E117" s="7">
        <v>0.75948</v>
      </c>
      <c r="F117" s="7">
        <v>0.564642</v>
      </c>
    </row>
    <row r="118">
      <c r="A118" s="4">
        <v>113</v>
      </c>
      <c r="B118" s="4">
        <v>28</v>
      </c>
      <c r="D118" s="5">
        <v>114.0</v>
      </c>
      <c r="E118" s="7">
        <v>0.764396</v>
      </c>
      <c r="F118" s="7">
        <v>0.572768</v>
      </c>
    </row>
    <row r="119">
      <c r="A119" s="4">
        <v>114</v>
      </c>
      <c r="B119" s="4">
        <v>28</v>
      </c>
      <c r="D119" s="5">
        <v>115.0</v>
      </c>
      <c r="E119" s="7">
        <v>0.769312</v>
      </c>
      <c r="F119" s="7">
        <v>0.580893</v>
      </c>
    </row>
    <row r="120">
      <c r="A120" s="4">
        <v>115</v>
      </c>
      <c r="B120" s="4">
        <v>18</v>
      </c>
      <c r="D120" s="5">
        <v>116.0</v>
      </c>
      <c r="E120" s="7">
        <v>0.772472</v>
      </c>
      <c r="F120" s="7">
        <v>0.586117</v>
      </c>
    </row>
    <row r="121">
      <c r="A121" s="4">
        <v>116</v>
      </c>
      <c r="B121" s="4">
        <v>22</v>
      </c>
      <c r="D121" s="5">
        <v>117.0</v>
      </c>
      <c r="E121" s="7">
        <v>0.776334</v>
      </c>
      <c r="F121" s="7">
        <v>0.592501</v>
      </c>
    </row>
    <row r="122">
      <c r="A122" s="4">
        <v>117</v>
      </c>
      <c r="B122" s="4">
        <v>18</v>
      </c>
      <c r="D122" s="5">
        <v>118.0</v>
      </c>
      <c r="E122" s="7">
        <v>0.779494</v>
      </c>
      <c r="F122" s="7">
        <v>0.597725</v>
      </c>
    </row>
    <row r="123">
      <c r="A123" s="4">
        <v>118</v>
      </c>
      <c r="B123" s="4">
        <v>23</v>
      </c>
      <c r="D123" s="5">
        <v>119.0</v>
      </c>
      <c r="E123" s="7">
        <v>0.783532</v>
      </c>
      <c r="F123" s="7">
        <v>0.604399</v>
      </c>
    </row>
    <row r="124">
      <c r="A124" s="4">
        <v>119</v>
      </c>
      <c r="B124" s="4">
        <v>24</v>
      </c>
      <c r="D124" s="5">
        <v>120.0</v>
      </c>
      <c r="E124" s="7">
        <v>0.787746</v>
      </c>
      <c r="F124" s="7">
        <v>0.611364</v>
      </c>
    </row>
    <row r="125">
      <c r="A125" s="4">
        <v>120</v>
      </c>
      <c r="B125" s="4">
        <v>19</v>
      </c>
      <c r="D125" s="5">
        <v>121.0</v>
      </c>
      <c r="E125" s="7">
        <v>0.791081</v>
      </c>
      <c r="F125" s="7">
        <v>0.616878</v>
      </c>
    </row>
    <row r="126">
      <c r="A126" s="4">
        <v>121</v>
      </c>
      <c r="B126" s="4">
        <v>17</v>
      </c>
      <c r="D126" s="5">
        <v>122.0</v>
      </c>
      <c r="E126" s="7">
        <v>0.794066</v>
      </c>
      <c r="F126" s="7">
        <v>0.621811</v>
      </c>
    </row>
    <row r="127">
      <c r="A127" s="4">
        <v>122</v>
      </c>
      <c r="B127" s="4">
        <v>13</v>
      </c>
      <c r="D127" s="5">
        <v>123.0</v>
      </c>
      <c r="E127" s="7">
        <v>0.796348</v>
      </c>
      <c r="F127" s="7">
        <v>0.625584</v>
      </c>
    </row>
    <row r="128">
      <c r="A128" s="4">
        <v>123</v>
      </c>
      <c r="B128" s="4">
        <v>12</v>
      </c>
      <c r="D128" s="5">
        <v>124.0</v>
      </c>
      <c r="E128" s="7">
        <v>0.798455</v>
      </c>
      <c r="F128" s="7">
        <v>0.629066</v>
      </c>
    </row>
    <row r="129">
      <c r="A129" s="4">
        <v>124</v>
      </c>
      <c r="B129" s="4">
        <v>23</v>
      </c>
      <c r="D129" s="5">
        <v>125.0</v>
      </c>
      <c r="E129" s="7">
        <v>0.802493</v>
      </c>
      <c r="F129" s="7">
        <v>0.635741</v>
      </c>
    </row>
    <row r="130">
      <c r="A130" s="4">
        <v>125</v>
      </c>
      <c r="B130" s="4">
        <v>27</v>
      </c>
      <c r="D130" s="5">
        <v>126.0</v>
      </c>
      <c r="E130" s="7">
        <v>0.807233</v>
      </c>
      <c r="F130" s="7">
        <v>0.643576</v>
      </c>
    </row>
    <row r="131">
      <c r="A131" s="4">
        <v>126</v>
      </c>
      <c r="B131" s="4">
        <v>17</v>
      </c>
      <c r="D131" s="5">
        <v>127.0</v>
      </c>
      <c r="E131" s="7">
        <v>0.810218</v>
      </c>
      <c r="F131" s="7">
        <v>0.64851</v>
      </c>
    </row>
    <row r="132">
      <c r="A132" s="4">
        <v>127</v>
      </c>
      <c r="B132" s="4">
        <v>20</v>
      </c>
      <c r="D132" s="5">
        <v>128.0</v>
      </c>
      <c r="E132" s="7">
        <v>0.813729</v>
      </c>
      <c r="F132" s="7">
        <v>0.654314</v>
      </c>
    </row>
    <row r="133">
      <c r="A133" s="4">
        <v>128</v>
      </c>
      <c r="B133" s="4">
        <v>10</v>
      </c>
      <c r="D133" s="5">
        <v>129.0</v>
      </c>
      <c r="E133" s="7">
        <v>0.815485</v>
      </c>
      <c r="F133" s="7">
        <v>0.657216</v>
      </c>
    </row>
    <row r="134">
      <c r="A134" s="4">
        <v>129</v>
      </c>
      <c r="B134" s="4">
        <v>15</v>
      </c>
      <c r="D134" s="5">
        <v>130.0</v>
      </c>
      <c r="E134" s="7">
        <v>0.818118</v>
      </c>
      <c r="F134" s="7">
        <v>0.661569</v>
      </c>
    </row>
    <row r="135">
      <c r="A135" s="4">
        <v>130</v>
      </c>
      <c r="B135" s="4">
        <v>19</v>
      </c>
      <c r="D135" s="5">
        <v>131.0</v>
      </c>
      <c r="E135" s="7">
        <v>0.821454</v>
      </c>
      <c r="F135" s="7">
        <v>0.667083</v>
      </c>
    </row>
    <row r="136">
      <c r="A136" s="4">
        <v>131</v>
      </c>
      <c r="B136" s="4">
        <v>13</v>
      </c>
      <c r="D136" s="5">
        <v>132.0</v>
      </c>
      <c r="E136" s="7">
        <v>0.823736</v>
      </c>
      <c r="F136" s="7">
        <v>0.670855</v>
      </c>
    </row>
    <row r="137">
      <c r="A137" s="4">
        <v>132</v>
      </c>
      <c r="B137" s="4">
        <v>15</v>
      </c>
      <c r="D137" s="5">
        <v>133.0</v>
      </c>
      <c r="E137" s="7">
        <v>0.826369</v>
      </c>
      <c r="F137" s="7">
        <v>0.675208</v>
      </c>
    </row>
    <row r="138">
      <c r="A138" s="4">
        <v>133</v>
      </c>
      <c r="B138" s="4">
        <v>20</v>
      </c>
      <c r="D138" s="5">
        <v>134.0</v>
      </c>
      <c r="E138" s="7">
        <v>0.829881</v>
      </c>
      <c r="F138" s="7">
        <v>0.681012</v>
      </c>
    </row>
    <row r="139">
      <c r="A139" s="4">
        <v>134</v>
      </c>
      <c r="B139" s="4">
        <v>17</v>
      </c>
      <c r="D139" s="5">
        <v>135.0</v>
      </c>
      <c r="E139" s="7">
        <v>0.832865</v>
      </c>
      <c r="F139" s="7">
        <v>0.686932</v>
      </c>
    </row>
    <row r="140">
      <c r="A140" s="4">
        <v>135</v>
      </c>
      <c r="B140" s="4">
        <v>15</v>
      </c>
      <c r="D140" s="5">
        <v>136.0</v>
      </c>
      <c r="E140" s="7">
        <v>0.835499</v>
      </c>
      <c r="F140" s="7">
        <v>0.692156</v>
      </c>
    </row>
    <row r="141">
      <c r="A141" s="4">
        <v>136</v>
      </c>
      <c r="B141" s="4">
        <v>19</v>
      </c>
      <c r="D141" s="5">
        <v>137.0</v>
      </c>
      <c r="E141" s="7">
        <v>0.838834</v>
      </c>
      <c r="F141" s="7">
        <v>0.698772</v>
      </c>
    </row>
    <row r="142">
      <c r="A142" s="4">
        <v>137</v>
      </c>
      <c r="B142" s="4">
        <v>18</v>
      </c>
      <c r="D142" s="5">
        <v>138.0</v>
      </c>
      <c r="E142" s="7">
        <v>0.841994</v>
      </c>
      <c r="F142" s="7">
        <v>0.705041</v>
      </c>
    </row>
    <row r="143">
      <c r="A143" s="4">
        <v>138</v>
      </c>
      <c r="B143" s="4">
        <v>18</v>
      </c>
      <c r="D143" s="5">
        <v>139.0</v>
      </c>
      <c r="E143" s="7">
        <v>0.845154</v>
      </c>
      <c r="F143" s="7">
        <v>0.711309</v>
      </c>
    </row>
    <row r="144">
      <c r="A144" s="4">
        <v>139</v>
      </c>
      <c r="B144" s="4">
        <v>19</v>
      </c>
      <c r="D144" s="5">
        <v>140.0</v>
      </c>
      <c r="E144" s="7">
        <v>0.84849</v>
      </c>
      <c r="F144" s="7">
        <v>0.717926</v>
      </c>
    </row>
    <row r="145">
      <c r="A145" s="4">
        <v>140</v>
      </c>
      <c r="B145" s="4">
        <v>14</v>
      </c>
      <c r="D145" s="5">
        <v>141.0</v>
      </c>
      <c r="E145" s="7">
        <v>0.850948</v>
      </c>
      <c r="F145" s="7">
        <v>0.722801</v>
      </c>
    </row>
    <row r="146">
      <c r="A146" s="4">
        <v>141</v>
      </c>
      <c r="B146" s="4">
        <v>14</v>
      </c>
      <c r="D146" s="5">
        <v>142.0</v>
      </c>
      <c r="E146" s="7">
        <v>0.853406</v>
      </c>
      <c r="F146" s="7">
        <v>0.727676</v>
      </c>
    </row>
    <row r="147">
      <c r="A147" s="4">
        <v>142</v>
      </c>
      <c r="B147" s="4">
        <v>12</v>
      </c>
      <c r="D147" s="5">
        <v>143.0</v>
      </c>
      <c r="E147" s="7">
        <v>0.855513</v>
      </c>
      <c r="F147" s="7">
        <v>0.731855</v>
      </c>
    </row>
    <row r="148">
      <c r="A148" s="4">
        <v>143</v>
      </c>
      <c r="B148" s="4">
        <v>15</v>
      </c>
      <c r="D148" s="5">
        <v>144.0</v>
      </c>
      <c r="E148" s="7">
        <v>0.858146</v>
      </c>
      <c r="F148" s="7">
        <v>0.737079</v>
      </c>
    </row>
    <row r="149">
      <c r="A149" s="4">
        <v>144</v>
      </c>
      <c r="B149" s="4">
        <v>12</v>
      </c>
      <c r="D149" s="5">
        <v>145.0</v>
      </c>
      <c r="E149" s="7">
        <v>0.860253</v>
      </c>
      <c r="F149" s="7">
        <v>0.741258</v>
      </c>
    </row>
    <row r="150">
      <c r="A150" s="4">
        <v>145</v>
      </c>
      <c r="B150" s="4">
        <v>11</v>
      </c>
      <c r="D150" s="5">
        <v>146.0</v>
      </c>
      <c r="E150" s="7">
        <v>0.862184</v>
      </c>
      <c r="F150" s="7">
        <v>0.745088</v>
      </c>
    </row>
    <row r="151">
      <c r="A151" s="4">
        <v>146</v>
      </c>
      <c r="B151" s="4">
        <v>19</v>
      </c>
      <c r="D151" s="5">
        <v>147.0</v>
      </c>
      <c r="E151" s="7">
        <v>0.86552</v>
      </c>
      <c r="F151" s="7">
        <v>0.751705</v>
      </c>
    </row>
    <row r="152">
      <c r="A152" s="4">
        <v>147</v>
      </c>
      <c r="B152" s="4">
        <v>16</v>
      </c>
      <c r="D152" s="5">
        <v>148.0</v>
      </c>
      <c r="E152" s="7">
        <v>0.868329</v>
      </c>
      <c r="F152" s="7">
        <v>0.757277</v>
      </c>
    </row>
    <row r="153">
      <c r="A153" s="4">
        <v>148</v>
      </c>
      <c r="B153" s="4">
        <v>8</v>
      </c>
      <c r="D153" s="5">
        <v>149.0</v>
      </c>
      <c r="E153" s="7">
        <v>0.869733</v>
      </c>
      <c r="F153" s="7">
        <v>0.760063</v>
      </c>
    </row>
    <row r="154">
      <c r="A154" s="4">
        <v>149</v>
      </c>
      <c r="B154" s="4">
        <v>9</v>
      </c>
      <c r="D154" s="5">
        <v>150.0</v>
      </c>
      <c r="E154" s="7">
        <v>0.871313</v>
      </c>
      <c r="F154" s="7">
        <v>0.763197</v>
      </c>
    </row>
    <row r="155">
      <c r="A155" s="4">
        <v>150</v>
      </c>
      <c r="B155" s="4">
        <v>11</v>
      </c>
      <c r="D155" s="5">
        <v>151.0</v>
      </c>
      <c r="E155" s="7">
        <v>0.873244</v>
      </c>
      <c r="F155" s="7">
        <v>0.767027</v>
      </c>
    </row>
    <row r="156">
      <c r="A156" s="4">
        <v>151</v>
      </c>
      <c r="B156" s="4">
        <v>7</v>
      </c>
      <c r="D156" s="5">
        <v>152.0</v>
      </c>
      <c r="E156" s="7">
        <v>0.874473</v>
      </c>
      <c r="F156" s="7">
        <v>0.769465</v>
      </c>
    </row>
    <row r="157">
      <c r="A157" s="4">
        <v>152</v>
      </c>
      <c r="B157" s="4">
        <v>12</v>
      </c>
      <c r="D157" s="5">
        <v>153.0</v>
      </c>
      <c r="E157" s="7">
        <v>0.87658</v>
      </c>
      <c r="F157" s="7">
        <v>0.773644</v>
      </c>
    </row>
    <row r="158">
      <c r="A158" s="4">
        <v>153</v>
      </c>
      <c r="B158" s="4">
        <v>12</v>
      </c>
      <c r="D158" s="5">
        <v>154.0</v>
      </c>
      <c r="E158" s="7">
        <v>0.878687</v>
      </c>
      <c r="F158" s="7">
        <v>0.777823</v>
      </c>
    </row>
    <row r="159">
      <c r="A159" s="4">
        <v>154</v>
      </c>
      <c r="B159" s="4">
        <v>12</v>
      </c>
      <c r="D159" s="5">
        <v>155.0</v>
      </c>
      <c r="E159" s="7">
        <v>0.880794</v>
      </c>
      <c r="F159" s="7">
        <v>0.782002</v>
      </c>
    </row>
    <row r="160">
      <c r="A160" s="4">
        <v>155</v>
      </c>
      <c r="B160" s="4">
        <v>12</v>
      </c>
      <c r="D160" s="5">
        <v>156.0</v>
      </c>
      <c r="E160" s="7">
        <v>0.8829</v>
      </c>
      <c r="F160" s="7">
        <v>0.786181</v>
      </c>
    </row>
    <row r="161">
      <c r="A161" s="4">
        <v>156</v>
      </c>
      <c r="B161" s="4">
        <v>12</v>
      </c>
      <c r="D161" s="5">
        <v>157.0</v>
      </c>
      <c r="E161" s="7">
        <v>0.885007</v>
      </c>
      <c r="F161" s="7">
        <v>0.79036</v>
      </c>
    </row>
    <row r="162">
      <c r="A162" s="4">
        <v>157</v>
      </c>
      <c r="B162" s="4">
        <v>11</v>
      </c>
      <c r="D162" s="5">
        <v>158.0</v>
      </c>
      <c r="E162" s="7">
        <v>0.886938</v>
      </c>
      <c r="F162" s="7">
        <v>0.79419</v>
      </c>
    </row>
    <row r="163">
      <c r="A163" s="4">
        <v>158</v>
      </c>
      <c r="B163" s="4">
        <v>9</v>
      </c>
      <c r="D163" s="5">
        <v>159.0</v>
      </c>
      <c r="E163" s="7">
        <v>0.888518</v>
      </c>
      <c r="F163" s="7">
        <v>0.797324</v>
      </c>
    </row>
    <row r="164">
      <c r="A164" s="4">
        <v>159</v>
      </c>
      <c r="B164" s="4">
        <v>6</v>
      </c>
      <c r="D164" s="5">
        <v>160.0</v>
      </c>
      <c r="E164" s="7">
        <v>0.889572</v>
      </c>
      <c r="F164" s="7">
        <v>0.799414</v>
      </c>
    </row>
    <row r="165">
      <c r="A165" s="4">
        <v>160</v>
      </c>
      <c r="B165" s="4">
        <v>8</v>
      </c>
      <c r="D165" s="5">
        <v>161.0</v>
      </c>
      <c r="E165" s="7">
        <v>0.890976</v>
      </c>
      <c r="F165" s="7">
        <v>0.8022</v>
      </c>
    </row>
    <row r="166">
      <c r="A166" s="4">
        <v>161</v>
      </c>
      <c r="B166" s="4">
        <v>10</v>
      </c>
      <c r="D166" s="5">
        <v>162.0</v>
      </c>
      <c r="E166" s="7">
        <v>0.892732</v>
      </c>
      <c r="F166" s="7">
        <v>0.805682</v>
      </c>
    </row>
    <row r="167">
      <c r="A167" s="4">
        <v>162</v>
      </c>
      <c r="B167" s="4">
        <v>2</v>
      </c>
      <c r="D167" s="5">
        <v>163.0</v>
      </c>
      <c r="E167" s="7">
        <v>0.893083</v>
      </c>
      <c r="F167" s="7">
        <v>0.806379</v>
      </c>
    </row>
    <row r="168">
      <c r="A168" s="4">
        <v>163</v>
      </c>
      <c r="B168" s="4">
        <v>7</v>
      </c>
      <c r="D168" s="5">
        <v>164.0</v>
      </c>
      <c r="E168" s="7">
        <v>0.894312</v>
      </c>
      <c r="F168" s="7">
        <v>0.808816</v>
      </c>
    </row>
    <row r="169">
      <c r="A169" s="4">
        <v>164</v>
      </c>
      <c r="B169" s="4">
        <v>6</v>
      </c>
      <c r="D169" s="5">
        <v>165.0</v>
      </c>
      <c r="E169" s="7">
        <v>0.895365</v>
      </c>
      <c r="F169" s="7">
        <v>0.810906</v>
      </c>
    </row>
    <row r="170">
      <c r="A170" s="4">
        <v>165</v>
      </c>
      <c r="B170" s="4">
        <v>11</v>
      </c>
      <c r="D170" s="5">
        <v>166.0</v>
      </c>
      <c r="E170" s="7">
        <v>0.897296</v>
      </c>
      <c r="F170" s="7">
        <v>0.814736</v>
      </c>
    </row>
    <row r="171">
      <c r="A171" s="4">
        <v>166</v>
      </c>
      <c r="B171" s="4">
        <v>6</v>
      </c>
      <c r="D171" s="5">
        <v>167.0</v>
      </c>
      <c r="E171" s="7">
        <v>0.89835</v>
      </c>
      <c r="F171" s="7">
        <v>0.816826</v>
      </c>
    </row>
    <row r="172">
      <c r="A172" s="4">
        <v>167</v>
      </c>
      <c r="B172" s="4">
        <v>8</v>
      </c>
      <c r="D172" s="5">
        <v>168.0</v>
      </c>
      <c r="E172" s="7">
        <v>0.899754</v>
      </c>
      <c r="F172" s="7">
        <v>0.819612</v>
      </c>
    </row>
    <row r="173">
      <c r="A173" s="4">
        <v>168</v>
      </c>
      <c r="B173" s="4">
        <v>4</v>
      </c>
      <c r="D173" s="5">
        <v>169.0</v>
      </c>
      <c r="E173" s="7">
        <v>0.900456</v>
      </c>
      <c r="F173" s="7">
        <v>0.821005</v>
      </c>
    </row>
    <row r="174">
      <c r="A174" s="4">
        <v>169</v>
      </c>
      <c r="B174" s="4">
        <v>10</v>
      </c>
      <c r="D174" s="5">
        <v>170.0</v>
      </c>
      <c r="E174" s="7">
        <v>0.902212</v>
      </c>
      <c r="F174" s="7">
        <v>0.824487</v>
      </c>
    </row>
    <row r="175">
      <c r="A175" s="4">
        <v>170</v>
      </c>
      <c r="B175" s="4">
        <v>2</v>
      </c>
      <c r="D175" s="5">
        <v>171.0</v>
      </c>
      <c r="E175" s="7">
        <v>0.902563</v>
      </c>
      <c r="F175" s="7">
        <v>0.825184</v>
      </c>
    </row>
    <row r="176">
      <c r="A176" s="4">
        <v>171</v>
      </c>
      <c r="B176" s="4">
        <v>9</v>
      </c>
      <c r="D176" s="5">
        <v>172.0</v>
      </c>
      <c r="E176" s="7">
        <v>0.904143</v>
      </c>
      <c r="F176" s="7">
        <v>0.828318</v>
      </c>
    </row>
    <row r="177">
      <c r="A177" s="4">
        <v>172</v>
      </c>
      <c r="B177" s="4">
        <v>10</v>
      </c>
      <c r="D177" s="5">
        <v>173.0</v>
      </c>
      <c r="E177" s="7">
        <v>0.905899</v>
      </c>
      <c r="F177" s="7">
        <v>0.8318</v>
      </c>
    </row>
    <row r="178">
      <c r="A178" s="4">
        <v>173</v>
      </c>
      <c r="B178" s="4">
        <v>10</v>
      </c>
      <c r="D178" s="5">
        <v>174.0</v>
      </c>
      <c r="E178" s="7">
        <v>0.907654</v>
      </c>
      <c r="F178" s="7">
        <v>0.835283</v>
      </c>
    </row>
    <row r="179">
      <c r="A179" s="4">
        <v>174</v>
      </c>
      <c r="B179" s="4">
        <v>5</v>
      </c>
      <c r="D179" s="5">
        <v>175.0</v>
      </c>
      <c r="E179" s="7">
        <v>0.908532</v>
      </c>
      <c r="F179" s="7">
        <v>0.837024</v>
      </c>
    </row>
    <row r="180">
      <c r="A180" s="4">
        <v>175</v>
      </c>
      <c r="B180" s="4">
        <v>9</v>
      </c>
      <c r="D180" s="5">
        <v>176.0</v>
      </c>
      <c r="E180" s="7">
        <v>0.910112</v>
      </c>
      <c r="F180" s="7">
        <v>0.840158</v>
      </c>
    </row>
    <row r="181">
      <c r="A181" s="4">
        <v>176</v>
      </c>
      <c r="B181" s="4">
        <v>11</v>
      </c>
      <c r="D181" s="5">
        <v>177.0</v>
      </c>
      <c r="E181" s="7">
        <v>0.912044</v>
      </c>
      <c r="F181" s="7">
        <v>0.843989</v>
      </c>
    </row>
    <row r="182">
      <c r="A182" s="4">
        <v>177</v>
      </c>
      <c r="B182" s="4">
        <v>7</v>
      </c>
      <c r="D182" s="5">
        <v>178.0</v>
      </c>
      <c r="E182" s="7">
        <v>0.913272</v>
      </c>
      <c r="F182" s="7">
        <v>0.846426</v>
      </c>
    </row>
    <row r="183">
      <c r="A183" s="4">
        <v>178</v>
      </c>
      <c r="B183" s="4">
        <v>3</v>
      </c>
      <c r="D183" s="5">
        <v>179.0</v>
      </c>
      <c r="E183" s="7">
        <v>0.913799</v>
      </c>
      <c r="F183" s="7">
        <v>0.847471</v>
      </c>
    </row>
    <row r="184">
      <c r="A184" s="4">
        <v>179</v>
      </c>
      <c r="B184" s="4">
        <v>4</v>
      </c>
      <c r="D184" s="5">
        <v>180.0</v>
      </c>
      <c r="E184" s="7">
        <v>0.914501</v>
      </c>
      <c r="F184" s="7">
        <v>0.848864</v>
      </c>
    </row>
    <row r="185">
      <c r="A185" s="4">
        <v>180</v>
      </c>
      <c r="B185" s="4">
        <v>4</v>
      </c>
      <c r="D185" s="5">
        <v>181.0</v>
      </c>
      <c r="E185" s="7">
        <v>0.915204</v>
      </c>
      <c r="F185" s="7">
        <v>0.850257</v>
      </c>
    </row>
    <row r="186">
      <c r="A186" s="4">
        <v>181</v>
      </c>
      <c r="B186" s="4">
        <v>6</v>
      </c>
      <c r="D186" s="5">
        <v>182.0</v>
      </c>
      <c r="E186" s="7">
        <v>0.916257</v>
      </c>
      <c r="F186" s="7">
        <v>0.852346</v>
      </c>
    </row>
    <row r="187">
      <c r="A187" s="4">
        <v>182</v>
      </c>
      <c r="B187" s="4">
        <v>2</v>
      </c>
      <c r="D187" s="5">
        <v>183.0</v>
      </c>
      <c r="E187" s="7">
        <v>0.916608</v>
      </c>
      <c r="F187" s="7">
        <v>0.853043</v>
      </c>
    </row>
    <row r="188">
      <c r="A188" s="4">
        <v>183</v>
      </c>
      <c r="B188" s="4">
        <v>8</v>
      </c>
      <c r="D188" s="5">
        <v>184.0</v>
      </c>
      <c r="E188" s="7">
        <v>0.918013</v>
      </c>
      <c r="F188" s="7">
        <v>0.855829</v>
      </c>
    </row>
    <row r="189">
      <c r="A189" s="4">
        <v>184</v>
      </c>
      <c r="B189" s="4">
        <v>5</v>
      </c>
      <c r="D189" s="5">
        <v>185.0</v>
      </c>
      <c r="E189" s="7">
        <v>0.91889</v>
      </c>
      <c r="F189" s="7">
        <v>0.85757</v>
      </c>
    </row>
    <row r="190">
      <c r="A190" s="4">
        <v>185</v>
      </c>
      <c r="B190" s="4">
        <v>8</v>
      </c>
      <c r="D190" s="5">
        <v>186.0</v>
      </c>
      <c r="E190" s="7">
        <v>0.920295</v>
      </c>
      <c r="F190" s="7">
        <v>0.860356</v>
      </c>
    </row>
    <row r="191">
      <c r="A191" s="4">
        <v>186</v>
      </c>
      <c r="B191" s="4">
        <v>5</v>
      </c>
      <c r="D191" s="5">
        <v>187.0</v>
      </c>
      <c r="E191" s="7">
        <v>0.921173</v>
      </c>
      <c r="F191" s="7">
        <v>0.862097</v>
      </c>
    </row>
    <row r="192">
      <c r="A192" s="4">
        <v>187</v>
      </c>
      <c r="B192" s="4">
        <v>6</v>
      </c>
      <c r="D192" s="5">
        <v>188.0</v>
      </c>
      <c r="E192" s="7">
        <v>0.922226</v>
      </c>
      <c r="F192" s="7">
        <v>0.864186</v>
      </c>
    </row>
    <row r="193">
      <c r="A193" s="4">
        <v>188</v>
      </c>
      <c r="B193" s="4">
        <v>6</v>
      </c>
      <c r="D193" s="5">
        <v>189.0</v>
      </c>
      <c r="E193" s="7">
        <v>0.923279</v>
      </c>
      <c r="F193" s="7">
        <v>0.866276</v>
      </c>
    </row>
    <row r="194">
      <c r="A194" s="4">
        <v>189</v>
      </c>
      <c r="B194" s="4">
        <v>4</v>
      </c>
      <c r="D194" s="5">
        <v>190.0</v>
      </c>
      <c r="E194" s="7">
        <v>0.923982</v>
      </c>
      <c r="F194" s="7">
        <v>0.867669</v>
      </c>
    </row>
    <row r="195">
      <c r="A195" s="4">
        <v>190</v>
      </c>
      <c r="B195" s="4">
        <v>7</v>
      </c>
      <c r="D195" s="5">
        <v>191.0</v>
      </c>
      <c r="E195" s="7">
        <v>0.925211</v>
      </c>
      <c r="F195" s="7">
        <v>0.870107</v>
      </c>
    </row>
    <row r="196">
      <c r="A196" s="4">
        <v>191</v>
      </c>
      <c r="B196" s="4">
        <v>5</v>
      </c>
      <c r="D196" s="5">
        <v>192.0</v>
      </c>
      <c r="E196" s="7">
        <v>0.926088</v>
      </c>
      <c r="F196" s="7">
        <v>0.871848</v>
      </c>
    </row>
    <row r="197">
      <c r="A197" s="4">
        <v>192</v>
      </c>
      <c r="B197" s="4">
        <v>3</v>
      </c>
      <c r="D197" s="5">
        <v>193.0</v>
      </c>
      <c r="E197" s="7">
        <v>0.926615</v>
      </c>
      <c r="F197" s="7">
        <v>0.872892</v>
      </c>
    </row>
    <row r="198">
      <c r="A198" s="4">
        <v>193</v>
      </c>
      <c r="B198" s="4">
        <v>4</v>
      </c>
      <c r="D198" s="5">
        <v>194.0</v>
      </c>
      <c r="E198" s="7">
        <v>0.927317</v>
      </c>
      <c r="F198" s="7">
        <v>0.874285</v>
      </c>
    </row>
    <row r="199">
      <c r="A199" s="4">
        <v>194</v>
      </c>
      <c r="B199" s="4">
        <v>7</v>
      </c>
      <c r="D199" s="5">
        <v>195.0</v>
      </c>
      <c r="E199" s="7">
        <v>0.928546</v>
      </c>
      <c r="F199" s="7">
        <v>0.876723</v>
      </c>
    </row>
    <row r="200">
      <c r="A200" s="4">
        <v>195</v>
      </c>
      <c r="B200" s="4">
        <v>3</v>
      </c>
      <c r="D200" s="5">
        <v>196.0</v>
      </c>
      <c r="E200" s="7">
        <v>0.929073</v>
      </c>
      <c r="F200" s="7">
        <v>0.877768</v>
      </c>
    </row>
    <row r="201">
      <c r="A201" s="4">
        <v>196</v>
      </c>
      <c r="B201" s="4">
        <v>7</v>
      </c>
      <c r="D201" s="5">
        <v>197.0</v>
      </c>
      <c r="E201" s="7">
        <v>0.930302</v>
      </c>
      <c r="F201" s="7">
        <v>0.880205</v>
      </c>
    </row>
    <row r="202">
      <c r="A202" s="4">
        <v>197</v>
      </c>
      <c r="B202" s="4">
        <v>4</v>
      </c>
      <c r="D202" s="5">
        <v>198.0</v>
      </c>
      <c r="E202" s="7">
        <v>0.931004</v>
      </c>
      <c r="F202" s="7">
        <v>0.881598</v>
      </c>
    </row>
    <row r="203">
      <c r="A203" s="4">
        <v>198</v>
      </c>
      <c r="B203" s="4">
        <v>3</v>
      </c>
      <c r="D203" s="5">
        <v>199.0</v>
      </c>
      <c r="E203" s="7">
        <v>0.931531</v>
      </c>
      <c r="F203" s="7">
        <v>0.882643</v>
      </c>
    </row>
    <row r="204">
      <c r="A204" s="4">
        <v>199</v>
      </c>
      <c r="B204" s="4">
        <v>7</v>
      </c>
      <c r="D204" s="5">
        <v>200.0</v>
      </c>
      <c r="E204" s="7">
        <v>0.93276</v>
      </c>
      <c r="F204" s="7">
        <v>0.885081</v>
      </c>
    </row>
    <row r="205">
      <c r="A205" s="4">
        <v>200</v>
      </c>
      <c r="B205" s="4">
        <v>2</v>
      </c>
      <c r="D205" s="5">
        <v>201.0</v>
      </c>
      <c r="E205" s="7">
        <v>0.933111</v>
      </c>
      <c r="F205" s="7">
        <v>0.885777</v>
      </c>
    </row>
    <row r="206">
      <c r="A206" s="4">
        <v>201</v>
      </c>
      <c r="B206" s="4">
        <v>4</v>
      </c>
      <c r="D206" s="5">
        <v>202.0</v>
      </c>
      <c r="E206" s="7">
        <v>0.933813</v>
      </c>
      <c r="F206" s="7">
        <v>0.88717</v>
      </c>
    </row>
    <row r="207">
      <c r="A207" s="4">
        <v>202</v>
      </c>
      <c r="B207" s="4">
        <v>5</v>
      </c>
      <c r="D207" s="5">
        <v>203.0</v>
      </c>
      <c r="E207" s="7">
        <v>0.934691</v>
      </c>
      <c r="F207" s="7">
        <v>0.888911</v>
      </c>
    </row>
    <row r="208">
      <c r="A208" s="4">
        <v>203</v>
      </c>
      <c r="B208" s="4">
        <v>3</v>
      </c>
      <c r="D208" s="5">
        <v>204.0</v>
      </c>
      <c r="E208" s="7">
        <v>0.935218</v>
      </c>
      <c r="F208" s="7">
        <v>0.889956</v>
      </c>
    </row>
    <row r="209">
      <c r="A209" s="4">
        <v>204</v>
      </c>
      <c r="B209" s="4">
        <v>4</v>
      </c>
      <c r="D209" s="5">
        <v>205.0</v>
      </c>
      <c r="E209" s="7">
        <v>0.93592</v>
      </c>
      <c r="F209" s="7">
        <v>0.891349</v>
      </c>
    </row>
    <row r="210">
      <c r="A210" s="4">
        <v>205</v>
      </c>
      <c r="B210" s="4">
        <v>3</v>
      </c>
      <c r="D210" s="5">
        <v>206.0</v>
      </c>
      <c r="E210" s="7">
        <v>0.936447</v>
      </c>
      <c r="F210" s="7">
        <v>0.892394</v>
      </c>
    </row>
    <row r="211">
      <c r="A211" s="4">
        <v>206</v>
      </c>
      <c r="B211" s="4">
        <v>4</v>
      </c>
      <c r="D211" s="5">
        <v>207.0</v>
      </c>
      <c r="E211" s="7">
        <v>0.937149</v>
      </c>
      <c r="F211" s="7">
        <v>0.893787</v>
      </c>
    </row>
    <row r="212">
      <c r="A212" s="4">
        <v>207</v>
      </c>
      <c r="B212" s="4">
        <v>2</v>
      </c>
      <c r="D212" s="5">
        <v>208.0</v>
      </c>
      <c r="E212" s="7">
        <v>0.9375</v>
      </c>
      <c r="F212" s="7">
        <v>0.894483</v>
      </c>
    </row>
    <row r="213">
      <c r="A213" s="4">
        <v>208</v>
      </c>
      <c r="B213" s="4">
        <v>3</v>
      </c>
      <c r="D213" s="5">
        <v>209.0</v>
      </c>
      <c r="E213" s="7">
        <v>0.938027</v>
      </c>
      <c r="F213" s="7">
        <v>0.895528</v>
      </c>
    </row>
    <row r="214">
      <c r="A214" s="4">
        <v>209</v>
      </c>
      <c r="B214" s="4">
        <v>5</v>
      </c>
      <c r="D214" s="5">
        <v>210.0</v>
      </c>
      <c r="E214" s="7">
        <v>0.938904</v>
      </c>
      <c r="F214" s="7">
        <v>0.897269</v>
      </c>
    </row>
    <row r="215">
      <c r="A215" s="4">
        <v>210</v>
      </c>
      <c r="B215" s="4">
        <v>4</v>
      </c>
      <c r="D215" s="5">
        <v>211.0</v>
      </c>
      <c r="E215" s="7">
        <v>0.939607</v>
      </c>
      <c r="F215" s="7">
        <v>0.898662</v>
      </c>
    </row>
    <row r="216">
      <c r="A216" s="4">
        <v>211</v>
      </c>
      <c r="B216" s="4">
        <v>2</v>
      </c>
      <c r="D216" s="5">
        <v>212.0</v>
      </c>
      <c r="E216" s="7">
        <v>0.939958</v>
      </c>
      <c r="F216" s="7">
        <v>0.899359</v>
      </c>
    </row>
    <row r="217">
      <c r="A217" s="4">
        <v>212</v>
      </c>
      <c r="B217" s="4">
        <v>7</v>
      </c>
      <c r="D217" s="5">
        <v>213.0</v>
      </c>
      <c r="E217" s="7">
        <v>0.941187</v>
      </c>
      <c r="F217" s="7">
        <v>0.901796</v>
      </c>
    </row>
    <row r="218">
      <c r="A218" s="4">
        <v>213</v>
      </c>
      <c r="B218" s="4">
        <v>3</v>
      </c>
      <c r="D218" s="5">
        <v>214.0</v>
      </c>
      <c r="E218" s="7">
        <v>0.941713</v>
      </c>
      <c r="F218" s="7">
        <v>0.902841</v>
      </c>
    </row>
    <row r="219">
      <c r="A219" s="4">
        <v>214</v>
      </c>
      <c r="B219" s="4">
        <v>2</v>
      </c>
      <c r="D219" s="5">
        <v>215.0</v>
      </c>
      <c r="E219" s="7">
        <v>0.942065</v>
      </c>
      <c r="F219" s="7">
        <v>0.903538</v>
      </c>
    </row>
    <row r="220">
      <c r="A220" s="4">
        <v>215</v>
      </c>
      <c r="B220" s="4">
        <v>6</v>
      </c>
      <c r="D220" s="5">
        <v>216.0</v>
      </c>
      <c r="E220" s="7">
        <v>0.943118</v>
      </c>
      <c r="F220" s="7">
        <v>0.905627</v>
      </c>
    </row>
    <row r="221">
      <c r="A221" s="4">
        <v>216</v>
      </c>
      <c r="B221" s="4">
        <v>3</v>
      </c>
      <c r="D221" s="5">
        <v>217.0</v>
      </c>
      <c r="E221" s="7">
        <v>0.943645</v>
      </c>
      <c r="F221" s="7">
        <v>0.906672</v>
      </c>
    </row>
    <row r="222">
      <c r="A222" s="4">
        <v>217</v>
      </c>
      <c r="B222" s="4">
        <v>2</v>
      </c>
      <c r="D222" s="5">
        <v>218.0</v>
      </c>
      <c r="E222" s="7">
        <v>0.943996</v>
      </c>
      <c r="F222" s="7">
        <v>0.907368</v>
      </c>
    </row>
    <row r="223">
      <c r="A223" s="4">
        <v>218</v>
      </c>
      <c r="B223" s="4">
        <v>1</v>
      </c>
      <c r="D223" s="5">
        <v>219.0</v>
      </c>
      <c r="E223" s="7">
        <v>0.944171</v>
      </c>
      <c r="F223" s="7">
        <v>0.907716</v>
      </c>
    </row>
    <row r="224">
      <c r="A224" s="4">
        <v>219</v>
      </c>
      <c r="B224" s="4">
        <v>0</v>
      </c>
      <c r="D224" s="5">
        <v>220.0</v>
      </c>
      <c r="E224" s="7">
        <v>0.944171</v>
      </c>
      <c r="F224" s="7">
        <v>0.907716</v>
      </c>
    </row>
    <row r="225">
      <c r="A225" s="4">
        <v>220</v>
      </c>
      <c r="B225" s="4">
        <v>2</v>
      </c>
      <c r="D225" s="5">
        <v>221.0</v>
      </c>
      <c r="E225" s="7">
        <v>0.944522</v>
      </c>
      <c r="F225" s="7">
        <v>0.908413</v>
      </c>
    </row>
    <row r="226">
      <c r="A226" s="4">
        <v>221</v>
      </c>
      <c r="B226" s="4">
        <v>4</v>
      </c>
      <c r="D226" s="5">
        <v>222.0</v>
      </c>
      <c r="E226" s="7">
        <v>0.945225</v>
      </c>
      <c r="F226" s="7">
        <v>0.909806</v>
      </c>
    </row>
    <row r="227">
      <c r="A227" s="4">
        <v>222</v>
      </c>
      <c r="B227" s="4">
        <v>5</v>
      </c>
      <c r="D227" s="5">
        <v>223.0</v>
      </c>
      <c r="E227" s="7">
        <v>0.946103</v>
      </c>
      <c r="F227" s="7">
        <v>0.911547</v>
      </c>
    </row>
    <row r="228">
      <c r="A228" s="4">
        <v>223</v>
      </c>
      <c r="B228" s="4">
        <v>5</v>
      </c>
      <c r="D228" s="5">
        <v>224.0</v>
      </c>
      <c r="E228" s="7">
        <v>0.94698</v>
      </c>
      <c r="F228" s="7">
        <v>0.913288</v>
      </c>
    </row>
    <row r="229">
      <c r="A229" s="4">
        <v>224</v>
      </c>
      <c r="B229" s="4">
        <v>0</v>
      </c>
      <c r="D229" s="5">
        <v>225.0</v>
      </c>
      <c r="E229" s="7">
        <v>0.94698</v>
      </c>
      <c r="F229" s="7">
        <v>0.913288</v>
      </c>
    </row>
    <row r="230">
      <c r="A230" s="4">
        <v>225</v>
      </c>
      <c r="B230" s="4">
        <v>2</v>
      </c>
      <c r="D230" s="5">
        <v>226.0</v>
      </c>
      <c r="E230" s="7">
        <v>0.947331</v>
      </c>
      <c r="F230" s="7">
        <v>0.913985</v>
      </c>
    </row>
    <row r="231">
      <c r="A231" s="4">
        <v>226</v>
      </c>
      <c r="B231" s="4">
        <v>2</v>
      </c>
      <c r="D231" s="5">
        <v>227.0</v>
      </c>
      <c r="E231" s="7">
        <v>0.947683</v>
      </c>
      <c r="F231" s="7">
        <v>0.914681</v>
      </c>
    </row>
    <row r="232">
      <c r="A232" s="4">
        <v>227</v>
      </c>
      <c r="B232" s="4">
        <v>5</v>
      </c>
      <c r="D232" s="5">
        <v>228.0</v>
      </c>
      <c r="E232" s="7">
        <v>0.94856</v>
      </c>
      <c r="F232" s="7">
        <v>0.916422</v>
      </c>
    </row>
    <row r="233">
      <c r="A233" s="4">
        <v>228</v>
      </c>
      <c r="B233" s="4">
        <v>2</v>
      </c>
      <c r="D233" s="5">
        <v>229.0</v>
      </c>
      <c r="E233" s="7">
        <v>0.948912</v>
      </c>
      <c r="F233" s="7">
        <v>0.917119</v>
      </c>
    </row>
    <row r="234">
      <c r="A234" s="4">
        <v>229</v>
      </c>
      <c r="B234" s="4">
        <v>2</v>
      </c>
      <c r="D234" s="5">
        <v>230.0</v>
      </c>
      <c r="E234" s="7">
        <v>0.949263</v>
      </c>
      <c r="F234" s="7">
        <v>0.917815</v>
      </c>
    </row>
    <row r="235">
      <c r="A235" s="4">
        <v>230</v>
      </c>
      <c r="B235" s="4">
        <v>5</v>
      </c>
      <c r="D235" s="5">
        <v>231.0</v>
      </c>
      <c r="E235" s="7">
        <v>0.95014</v>
      </c>
      <c r="F235" s="7">
        <v>0.919557</v>
      </c>
    </row>
    <row r="236">
      <c r="A236" s="4">
        <v>231</v>
      </c>
      <c r="B236" s="4">
        <v>3</v>
      </c>
      <c r="D236" s="5">
        <v>232.0</v>
      </c>
      <c r="E236" s="7">
        <v>0.950667</v>
      </c>
      <c r="F236" s="7">
        <v>0.920601</v>
      </c>
    </row>
    <row r="237">
      <c r="A237" s="4">
        <v>232</v>
      </c>
      <c r="B237" s="4">
        <v>4</v>
      </c>
      <c r="D237" s="5">
        <v>233.0</v>
      </c>
      <c r="E237" s="7">
        <v>0.951369</v>
      </c>
      <c r="F237" s="7">
        <v>0.921994</v>
      </c>
    </row>
    <row r="238">
      <c r="A238" s="4">
        <v>233</v>
      </c>
      <c r="B238" s="4">
        <v>4</v>
      </c>
      <c r="D238" s="5">
        <v>234.0</v>
      </c>
      <c r="E238" s="7">
        <v>0.952072</v>
      </c>
      <c r="F238" s="7">
        <v>0.923387</v>
      </c>
    </row>
    <row r="239">
      <c r="A239" s="4">
        <v>234</v>
      </c>
      <c r="B239" s="4">
        <v>3</v>
      </c>
      <c r="D239" s="5">
        <v>235.0</v>
      </c>
      <c r="E239" s="7">
        <v>0.952598</v>
      </c>
      <c r="F239" s="7">
        <v>0.924432</v>
      </c>
    </row>
    <row r="240">
      <c r="A240" s="4">
        <v>235</v>
      </c>
      <c r="B240" s="4">
        <v>1</v>
      </c>
      <c r="D240" s="5">
        <v>236.0</v>
      </c>
      <c r="E240" s="7">
        <v>0.952774</v>
      </c>
      <c r="F240" s="7">
        <v>0.92478</v>
      </c>
    </row>
    <row r="241">
      <c r="A241" s="4">
        <v>236</v>
      </c>
      <c r="B241" s="4">
        <v>1</v>
      </c>
      <c r="D241" s="5">
        <v>237.0</v>
      </c>
      <c r="E241" s="7">
        <v>0.952949</v>
      </c>
      <c r="F241" s="7">
        <v>0.925128</v>
      </c>
    </row>
    <row r="242">
      <c r="A242" s="4">
        <v>237</v>
      </c>
      <c r="B242" s="4">
        <v>5</v>
      </c>
      <c r="D242" s="5">
        <v>238.0</v>
      </c>
      <c r="E242" s="7">
        <v>0.953827</v>
      </c>
      <c r="F242" s="7">
        <v>0.92687</v>
      </c>
    </row>
    <row r="243">
      <c r="A243" s="4">
        <v>238</v>
      </c>
      <c r="B243" s="4">
        <v>1</v>
      </c>
      <c r="D243" s="5">
        <v>239.0</v>
      </c>
      <c r="E243" s="7">
        <v>0.954003</v>
      </c>
      <c r="F243" s="7">
        <v>0.927218</v>
      </c>
    </row>
    <row r="244">
      <c r="A244" s="4">
        <v>239</v>
      </c>
      <c r="B244" s="4">
        <v>6</v>
      </c>
      <c r="D244" s="5">
        <v>240.0</v>
      </c>
      <c r="E244" s="7">
        <v>0.955056</v>
      </c>
      <c r="F244" s="7">
        <v>0.929307</v>
      </c>
    </row>
    <row r="245">
      <c r="A245" s="4">
        <v>240</v>
      </c>
      <c r="B245" s="4">
        <v>3</v>
      </c>
      <c r="D245" s="5">
        <v>241.0</v>
      </c>
      <c r="E245" s="7">
        <v>0.955583</v>
      </c>
      <c r="F245" s="7">
        <v>0.930352</v>
      </c>
    </row>
    <row r="246">
      <c r="A246" s="4">
        <v>241</v>
      </c>
      <c r="B246" s="4">
        <v>5</v>
      </c>
      <c r="D246" s="5">
        <v>242.0</v>
      </c>
      <c r="E246" s="7">
        <v>0.956461</v>
      </c>
      <c r="F246" s="7">
        <v>0.932093</v>
      </c>
    </row>
    <row r="247">
      <c r="A247" s="4">
        <v>242</v>
      </c>
      <c r="B247" s="4">
        <v>5</v>
      </c>
      <c r="D247" s="5">
        <v>243.0</v>
      </c>
      <c r="E247" s="7">
        <v>0.957338</v>
      </c>
      <c r="F247" s="7">
        <v>0.933834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36.00" customWidth="1"/>
    <col min="2" max="2" width="44.00" customWidth="1"/>
    <col min="3" max="3" width="20.00" customWidth="1"/>
    <col min="4" max="4" width="20.00" customWidth="1"/>
  </cols>
  <sheetData>
    <row r="1">
      <c r="A1" s="1" t="inlineStr">
        <is>
          <t xml:space="preserve">Hypothèses et paramètres</t>
        </is>
      </c>
    </row>
    <row r="3">
      <c r="A3" s="2" t="inlineStr">
        <is>
          <t xml:space="preserve">Le modèle</t>
        </is>
      </c>
    </row>
    <row r="4" ht="15.0" customHeight="1">
      <c r="A4" s="11" t="inlineStr">
        <is>
          <t xml:space="preserve">Chaque toit reçoit un nombre entier d'habitants, selon sa classe de surface.</t>
        </is>
      </c>
    </row>
    <row r="5" ht="30.0" customHeight="1">
      <c r="A5" s="11" t="inlineStr">
        <is>
          <t xml:space="preserve">Habitants d'une classe = surface moyenne de la classe ÷ surface de toit par habitant, arrondi, borné entre le minimum et le maximum par toit, et jamais décroissant d'une classe à la suivante.</t>
        </is>
      </c>
    </row>
    <row r="6" ht="45.0" customHeight="1">
      <c r="A6" s="11" t="inlineStr">
        <is>
          <t xml:space="preserve">La surface de toit par habitant est le seul paramètre ajusté : elle est choisie pour que la population calculée égale la population connue du groupe, ramenée à l'année visée. La forme de la courbe est donc une hypothèse ; seul son niveau est calé sur le recensement.</t>
        </is>
      </c>
    </row>
    <row r="7" ht="30.0" customHeight="1">
      <c r="A7" s="11" t="inlineStr">
        <is>
          <t xml:space="preserve">Les toits sous le plancher n'ont pas d'habitants ; au-dessus du plafond, ils reçoivent la valeur de la dernière classe ; au-delà de la surface d'exclusion, ils sont écartés.</t>
        </is>
      </c>
    </row>
    <row r="8" ht="15.0" customHeight="1">
      <c r="A8" s="11" t="inlineStr">
        <is>
          <t xml:space="preserve">Le recalage (un facteur par strate) est calculé et proposé, mais appliqué seulement s'il est demandé.</t>
        </is>
      </c>
    </row>
    <row r="10">
      <c r="A10" s="2" t="inlineStr">
        <is>
          <t xml:space="preserve">Réglages généraux</t>
        </is>
      </c>
    </row>
    <row r="11">
      <c r="A11" s="12" t="inlineStr">
        <is>
          <t xml:space="preserve">Année du recensement</t>
        </is>
      </c>
      <c r="B11">
        <v>2024</v>
      </c>
    </row>
    <row r="12">
      <c r="A12" s="12" t="inlineStr">
        <is>
          <t xml:space="preserve">Année visée</t>
        </is>
      </c>
      <c r="B12">
        <v>2024</v>
      </c>
    </row>
    <row r="13">
      <c r="A13" s="12" t="inlineStr">
        <is>
          <t xml:space="preserve">TCAM de décalage (%/an)</t>
        </is>
      </c>
      <c r="B13" t="inlineStr">
        <is>
          <t xml:space="preserve">TCAM du scénario</t>
        </is>
      </c>
    </row>
    <row r="14">
      <c r="A14" s="12" t="inlineStr">
        <is>
          <t xml:space="preserve">Recalage sur le recensement</t>
        </is>
      </c>
      <c r="B14" t="inlineStr">
        <is>
          <t xml:space="preserve">non (facteur proposé seulement)</t>
        </is>
      </c>
    </row>
    <row r="15">
      <c r="A15" s="12" t="inlineStr">
        <is>
          <t xml:space="preserve">Seuil d'alerte sur l'écart</t>
        </is>
      </c>
      <c r="B15" t="inlineStr">
        <is>
          <t xml:space="preserve">± 2 %</t>
        </is>
      </c>
    </row>
    <row r="16">
      <c r="A16" s="12" t="inlineStr">
        <is>
          <t xml:space="preserve">Année des images des toits</t>
        </is>
      </c>
      <c r="B16" t="inlineStr">
        <is>
          <t xml:space="preserve">–</t>
        </is>
      </c>
    </row>
    <row r="18">
      <c r="A18" s="2" t="inlineStr">
        <is>
          <t xml:space="preserve">Groupe Rural</t>
        </is>
      </c>
    </row>
    <row r="19">
      <c r="A19" s="12" t="inlineStr">
        <is>
          <t xml:space="preserve">Forme de la courbe</t>
        </is>
      </c>
      <c r="B19" t="inlineStr">
        <is>
          <t xml:space="preserve">paliers</t>
        </is>
      </c>
    </row>
    <row r="20">
      <c r="A20" s="12" t="inlineStr">
        <is>
          <t xml:space="preserve">Découpage des classes</t>
        </is>
      </c>
      <c r="B20" t="inlineStr">
        <is>
          <t xml:space="preserve">ruptures naturelles</t>
        </is>
      </c>
    </row>
    <row r="21">
      <c r="A21" s="12" t="inlineStr">
        <is>
          <t xml:space="preserve">Nombre de classes</t>
        </is>
      </c>
      <c r="B21">
        <v>8</v>
      </c>
    </row>
    <row r="22">
      <c r="A22" s="12" t="inlineStr">
        <is>
          <t xml:space="preserve">Plancher</t>
        </is>
      </c>
      <c r="B22" t="inlineStr">
        <is>
          <t xml:space="preserve">1e percentile → 10,4 m²</t>
        </is>
      </c>
    </row>
    <row r="23">
      <c r="A23" s="12" t="inlineStr">
        <is>
          <t xml:space="preserve">Plafond</t>
        </is>
      </c>
      <c r="B23" t="inlineStr">
        <is>
          <t xml:space="preserve">90e percentile → 119,7 m²</t>
        </is>
      </c>
    </row>
    <row r="24">
      <c r="A24" s="12" t="inlineStr">
        <is>
          <t xml:space="preserve">Exclure au-delà de</t>
        </is>
      </c>
      <c r="B24" t="inlineStr">
        <is>
          <t xml:space="preserve">450 m²</t>
        </is>
      </c>
    </row>
    <row r="25">
      <c r="A25" s="12" t="inlineStr">
        <is>
          <t xml:space="preserve">Habitants par classe</t>
        </is>
      </c>
      <c r="B25" t="inlineStr">
        <is>
          <t xml:space="preserve">surface moyenne ÷ surface de toit par habitant</t>
        </is>
      </c>
    </row>
    <row r="26">
      <c r="A26" s="12" t="inlineStr">
        <is>
          <t xml:space="preserve">m² de toit par habitant</t>
        </is>
      </c>
      <c r="B26" t="inlineStr">
        <is>
          <t xml:space="preserve">16,9 m² (ajustée au recensement)</t>
        </is>
      </c>
    </row>
    <row r="27">
      <c r="A27" s="12" t="inlineStr">
        <is>
          <t xml:space="preserve">Habitants par toit</t>
        </is>
      </c>
      <c r="B27" t="inlineStr">
        <is>
          <t xml:space="preserve">de 1 à 15</t>
        </is>
      </c>
    </row>
    <row r="28">
      <c r="A28" s="12" t="inlineStr">
        <is>
          <t xml:space="preserve">Valeurs modifiées à la main</t>
        </is>
      </c>
      <c r="B28" t="inlineStr">
        <is>
          <t xml:space="preserve">–</t>
        </is>
      </c>
    </row>
    <row r="30">
      <c r="A30" s="2" t="inlineStr">
        <is>
          <t xml:space="preserve">Groupe Urbain1</t>
        </is>
      </c>
    </row>
    <row r="31">
      <c r="A31" s="12" t="inlineStr">
        <is>
          <t xml:space="preserve">Forme de la courbe</t>
        </is>
      </c>
      <c r="B31" t="inlineStr">
        <is>
          <t xml:space="preserve">paliers</t>
        </is>
      </c>
    </row>
    <row r="32">
      <c r="A32" s="12" t="inlineStr">
        <is>
          <t xml:space="preserve">Découpage des classes</t>
        </is>
      </c>
      <c r="B32" t="inlineStr">
        <is>
          <t xml:space="preserve">ruptures naturelles</t>
        </is>
      </c>
    </row>
    <row r="33">
      <c r="A33" s="12" t="inlineStr">
        <is>
          <t xml:space="preserve">Nombre de classes</t>
        </is>
      </c>
      <c r="B33">
        <v>8</v>
      </c>
    </row>
    <row r="34">
      <c r="A34" s="12" t="inlineStr">
        <is>
          <t xml:space="preserve">Plancher</t>
        </is>
      </c>
      <c r="B34" t="inlineStr">
        <is>
          <t xml:space="preserve">1e percentile → 9,2 m²</t>
        </is>
      </c>
    </row>
    <row r="35">
      <c r="A35" s="12" t="inlineStr">
        <is>
          <t xml:space="preserve">Plafond</t>
        </is>
      </c>
      <c r="B35" t="inlineStr">
        <is>
          <t xml:space="preserve">90e percentile → 162 m²</t>
        </is>
      </c>
    </row>
    <row r="36">
      <c r="A36" s="12" t="inlineStr">
        <is>
          <t xml:space="preserve">Exclure au-delà de</t>
        </is>
      </c>
      <c r="B36" t="inlineStr">
        <is>
          <t xml:space="preserve">450 m²</t>
        </is>
      </c>
    </row>
    <row r="37">
      <c r="A37" s="12" t="inlineStr">
        <is>
          <t xml:space="preserve">Habitants par classe</t>
        </is>
      </c>
      <c r="B37" t="inlineStr">
        <is>
          <t xml:space="preserve">surface moyenne ÷ surface de toit par habitant</t>
        </is>
      </c>
    </row>
    <row r="38">
      <c r="A38" s="12" t="inlineStr">
        <is>
          <t xml:space="preserve">m² de toit par habitant</t>
        </is>
      </c>
      <c r="B38" t="inlineStr">
        <is>
          <t xml:space="preserve">12,34 m² (ajustée au recensement)</t>
        </is>
      </c>
    </row>
    <row r="39">
      <c r="A39" s="12" t="inlineStr">
        <is>
          <t xml:space="preserve">Habitants par toit</t>
        </is>
      </c>
      <c r="B39" t="inlineStr">
        <is>
          <t xml:space="preserve">de 1 à 15</t>
        </is>
      </c>
    </row>
    <row r="40">
      <c r="A40" s="12" t="inlineStr">
        <is>
          <t xml:space="preserve">Valeurs modifiées à la main</t>
        </is>
      </c>
      <c r="B40" t="inlineStr">
        <is>
          <t xml:space="preserve">–</t>
        </is>
      </c>
    </row>
  </sheetData>
  <mergeCells count="5">
    <mergeCell ref="A4:D4"/>
    <mergeCell ref="A5:D5"/>
    <mergeCell ref="A6:D6"/>
    <mergeCell ref="A7:D7"/>
    <mergeCell ref="A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36.00" customWidth="1"/>
    <col min="2" max="2" width="80.00" customWidth="1"/>
  </cols>
  <sheetData>
    <row r="1">
      <c r="A1" s="1" t="inlineStr">
        <is>
          <t xml:space="preserve">Sources</t>
        </is>
      </c>
    </row>
    <row r="4">
      <c r="A4" s="2" t="inlineStr">
        <is>
          <t xml:space="preserve">Toits</t>
        </is>
      </c>
    </row>
    <row r="5">
      <c r="A5" s="12" t="inlineStr">
        <is>
          <t xml:space="preserve">Fichier ou base</t>
        </is>
      </c>
      <c r="B5" s="11" t="inlineStr">
        <is>
          <t xml:space="preserve">buildings_muramvya.gpkg</t>
        </is>
      </c>
    </row>
    <row r="6">
      <c r="A6" s="12" t="inlineStr">
        <is>
          <t xml:space="preserve">Champ de surface</t>
        </is>
      </c>
      <c r="B6" s="11" t="inlineStr">
        <is>
          <t xml:space="preserve">area_m2</t>
        </is>
      </c>
    </row>
    <row r="7">
      <c r="A7" s="12" t="inlineStr">
        <is>
          <t xml:space="preserve">Toits lus</t>
        </is>
      </c>
      <c r="B7" s="4">
        <v>38942</v>
      </c>
    </row>
    <row r="8">
      <c r="A8" s="12" t="inlineStr">
        <is>
          <t xml:space="preserve">Toits retenus</t>
        </is>
      </c>
      <c r="B8" s="4">
        <v>38942</v>
      </c>
    </row>
    <row r="10">
      <c r="A10" s="2" t="inlineStr">
        <is>
          <t xml:space="preserve">Strates</t>
        </is>
      </c>
    </row>
    <row r="11">
      <c r="A11" s="12" t="inlineStr">
        <is>
          <t xml:space="preserve">Couche des strates</t>
        </is>
      </c>
      <c r="B11" s="11" t="inlineStr">
        <is>
          <t xml:space="preserve">commune_muramvya.shp</t>
        </is>
      </c>
    </row>
    <row r="12">
      <c r="A12" s="12" t="inlineStr">
        <is>
          <t xml:space="preserve">Champ de la strate</t>
        </is>
      </c>
      <c r="B12" s="11" t="inlineStr">
        <is>
          <t xml:space="preserve">COMMUNES</t>
        </is>
      </c>
    </row>
    <row r="13">
      <c r="A13" s="12" t="inlineStr">
        <is>
          <t xml:space="preserve">Champ du groupe</t>
        </is>
      </c>
      <c r="B13" s="11" t="inlineStr">
        <is>
          <t xml:space="preserve">Type</t>
        </is>
      </c>
    </row>
    <row r="15">
      <c r="A15" s="2" t="inlineStr">
        <is>
          <t xml:space="preserve">Population connue</t>
        </is>
      </c>
    </row>
    <row r="16">
      <c r="A16" s="12" t="inlineStr">
        <is>
          <t xml:space="preserve">MURAMVYA  RURAL</t>
        </is>
      </c>
      <c r="B16" s="4">
        <v>136759</v>
      </c>
    </row>
    <row r="17">
      <c r="A17" s="12" t="inlineStr">
        <is>
          <t xml:space="preserve">MURAMVYA URBAIN</t>
        </is>
      </c>
      <c r="B17" s="4">
        <v>34251</v>
      </c>
    </row>
    <row r="19">
      <c r="A19" s="2" t="inlineStr">
        <is>
          <t xml:space="preserve">Logiciel</t>
        </is>
      </c>
    </row>
    <row r="20">
      <c r="A20" s="12" t="inlineStr">
        <is>
          <t xml:space="preserve">Poplar</t>
        </is>
      </c>
      <c r="B20" s="11" t="inlineStr">
        <is>
          <t xml:space="preserve">0.6.0</t>
        </is>
      </c>
    </row>
    <row r="21">
      <c r="A21" s="12" t="inlineStr">
        <is>
          <t xml:space="preserve">Classeur produit le</t>
        </is>
      </c>
      <c r="B21" s="11" t="inlineStr">
        <is>
          <t xml:space="preserve">30/09/2026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Poplar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Muramvya</dc:title>
  <dc:creator>Poplar</dc:creator>
  <dcterms:created xsi:type="dcterms:W3CDTF">2026-09-30T12:37:31Z</dcterms:created>
  <dcterms:modified xsi:type="dcterms:W3CDTF">2026-09-30T12:37:31Z</dcterms:modified>
</cp:coreProperties>
</file>